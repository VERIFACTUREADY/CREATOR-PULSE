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yenda" sheetId="1" state="visible" r:id="rId3"/>
    <sheet name="Supuestos" sheetId="2" state="visible" r:id="rId4"/>
    <sheet name="Escenarios" sheetId="3" state="visible" r:id="rId5"/>
    <sheet name="Sensibilida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<sst xmlns="http://schemas.openxmlformats.org/spreadsheetml/2006/main" count="64" uniqueCount="64">
  <si>
    <t xml:space="preserve">Economía unitaria · Prototipo «Descanso Compartido»</t>
  </si>
  <si>
    <t xml:space="preserve">Fecha: 13/10/2026 · Estado: NO-GO. Ninguna cifra de este libro es un coste real ni una previsión de beneficio.</t>
  </si>
  <si>
    <t xml:space="preserve">Cómo usarlo</t>
  </si>
  <si>
    <t xml:space="preserve">1. Celdas con fondo AMARILLO y texto AZUL = datos que debéis rellenar o cambiar.</t>
  </si>
  <si>
    <t xml:space="preserve">2. Texto NEGRO = fórmulas. No las sobrescribáis.</t>
  </si>
  <si>
    <t xml:space="preserve">3. Columna «REAL» de la hoja Escenarios: vacía a propósito. Rellenadla SOLO con cotizaciones firmadas (DP-07).</t>
  </si>
  <si>
    <t xml:space="preserve">4. Los escenarios 1–5 reproducen los ejemplos HIPOTÉTICOS de los informes (Estudio §9.2 y Maestro §09).</t>
  </si>
  <si>
    <t xml:space="preserve">Fuentes de los supuestos</t>
  </si>
  <si>
    <t xml:space="preserve">IVA 21 %: tipo general (Agencia Tributaria, S25). El tipo aplicable al SKU está SIN CONFIRMAR (DP-22).</t>
  </si>
  <si>
    <t xml:space="preserve">Comisión 2,9 % + 0,30 €: supuesto prudencial de los informes, NO tarifa contractual de Shopify (S26).</t>
  </si>
  <si>
    <t xml:space="preserve">Reserva de incidencias y umbral de 7–8 €: criterio analítico del Estudio §9.2, no datos observados.</t>
  </si>
  <si>
    <t xml:space="preserve">Capital 50 €: presupuesto declarado por el titular.</t>
  </si>
  <si>
    <t xml:space="preserve">Excluido: cuota Shopify, apps, gestoría, IRPF, devoluciones extraordinarias, publicidad, deducibilidad del IVA soportado.</t>
  </si>
  <si>
    <t xml:space="preserve">Supuestos globales</t>
  </si>
  <si>
    <t xml:space="preserve">Supuesto</t>
  </si>
  <si>
    <t xml:space="preserve">Valor</t>
  </si>
  <si>
    <t xml:space="preserve">Fuente / nota</t>
  </si>
  <si>
    <t xml:space="preserve">IVA aplicado al PVP (hipótesis)</t>
  </si>
  <si>
    <t xml:space="preserve">S25: tipo general. Tipo del SKU sin clasificar (DP-22).</t>
  </si>
  <si>
    <t xml:space="preserve">Comisión de pago variable (hipótesis)</t>
  </si>
  <si>
    <t xml:space="preserve">Supuesto de los informes; confirmar tarifa real (DP-11).</t>
  </si>
  <si>
    <t xml:space="preserve">Comisión de pago fija por pedido (hipótesis)</t>
  </si>
  <si>
    <t xml:space="preserve">Supuesto de los informes.</t>
  </si>
  <si>
    <t xml:space="preserve">Umbral mínimo de contribución antes de marketing</t>
  </si>
  <si>
    <t xml:space="preserve">Estudio §9.2: no avanzar por debajo de 7–8 €.</t>
  </si>
  <si>
    <t xml:space="preserve">Capital disponible para pedidos y reembolsos</t>
  </si>
  <si>
    <t xml:space="preserve">Presupuesto declarado por el titular.</t>
  </si>
  <si>
    <t xml:space="preserve">CAC de referencia para comparar (hipótesis)</t>
  </si>
  <si>
    <t xml:space="preserve">Estudio §9.2: ejemplo de CAC de 10 €.</t>
  </si>
  <si>
    <t xml:space="preserve">Contribución por pedido (antes de costes fijos, marketing e impuestos directos)</t>
  </si>
  <si>
    <t xml:space="preserve">Concepto</t>
  </si>
  <si>
    <t xml:space="preserve">1. Desfavorable</t>
  </si>
  <si>
    <t xml:space="preserve">2. Base exploración</t>
  </si>
  <si>
    <t xml:space="preserve">3. Mejor logística</t>
  </si>
  <si>
    <t xml:space="preserve">4. PVP superior</t>
  </si>
  <si>
    <t xml:space="preserve">5. Ejemplo Maestro</t>
  </si>
  <si>
    <t xml:space="preserve">REAL (cotización firmada)</t>
  </si>
  <si>
    <t xml:space="preserve">PVP con IVA</t>
  </si>
  <si>
    <t xml:space="preserve">Coste completo puesto en cliente (agregado, hipótesis)</t>
  </si>
  <si>
    <t xml:space="preserve">  · Producto (desglose real)</t>
  </si>
  <si>
    <t xml:space="preserve">  · Envío a domicilio (desglose real)</t>
  </si>
  <si>
    <t xml:space="preserve">  · Aranceles / derecho 3 € / importación</t>
  </si>
  <si>
    <t xml:space="preserve">  · Preparación y embalaje</t>
  </si>
  <si>
    <t xml:space="preserve">  · Otros costes variables no recuperables</t>
  </si>
  <si>
    <t xml:space="preserve">Coste completo usado</t>
  </si>
  <si>
    <t xml:space="preserve">Reserva por devoluciones, soporte e incidencias</t>
  </si>
  <si>
    <t xml:space="preserve">PVP sin IVA</t>
  </si>
  <si>
    <t xml:space="preserve">Comisión de pago</t>
  </si>
  <si>
    <t xml:space="preserve">Contribución por pedido</t>
  </si>
  <si>
    <t xml:space="preserve">¿Supera el umbral mínimo?</t>
  </si>
  <si>
    <t xml:space="preserve">Contribución tras CAC de referencia</t>
  </si>
  <si>
    <t xml:space="preserve">Pedidos completos financiables con el capital</t>
  </si>
  <si>
    <t xml:space="preserve">Notas</t>
  </si>
  <si>
    <t xml:space="preserve">Escenarios 1–4: Estudio §9.2 (resultado publicado: 0,56 / 7,04 / 11,54 / 11,03 €). Escenario 5: Maestro §09 (7,14 €). Todos HIPOTÉTICOS.</t>
  </si>
  <si>
    <t xml:space="preserve">Columna REAL: déjala vacía hasta tener cotizaciones firmadas. Si rellenas el desglose (filas 6–10), sustituye al coste agregado.</t>
  </si>
  <si>
    <t xml:space="preserve">Fila 18: con 50 € y un proveedor que cobra al instante, solo se financian 3 pedidos a 14 € (Estudio §9.3).</t>
  </si>
  <si>
    <t xml:space="preserve">Sensibilidad de adquisición (hipótesis de planificación, no previsión)</t>
  </si>
  <si>
    <t xml:space="preserve">Contribución usada (escenario base, enlazada):</t>
  </si>
  <si>
    <t xml:space="preserve">Sesiones cualificadas/mes</t>
  </si>
  <si>
    <t xml:space="preserve">Conversión hipotética</t>
  </si>
  <si>
    <t xml:space="preserve">Pedidos teóricos</t>
  </si>
  <si>
    <t xml:space="preserve">Contribución total</t>
  </si>
  <si>
    <t xml:space="preserve">Capital a adelantar (coste base)</t>
  </si>
  <si>
    <t xml:space="preserve">Pedidos fraccionarios = valor esperado matemático (Estudio §9.5). Las conversiones NO son benchmarks del nicho.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</si>
</sst>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.00&quot; €&quot;;\(#,##0.00&quot; €)&quot;;\-"/>
    <numFmt numFmtId="167" formatCode="#,##0"/>
    <numFmt numFmtId="168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B37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2B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13</v>
      </c>
      <c r="B1" s="3"/>
      <c r="C1" s="3"/>
    </row>
    <row r="2" customFormat="false" ht="15" hidden="false" customHeight="false" outlineLevel="0" collapsed="false">
      <c r="A2" s="3"/>
      <c r="B2" s="3"/>
      <c r="C2" s="3"/>
    </row>
    <row r="3" customFormat="false" ht="15" hidden="false" customHeight="false" outlineLevel="0" collapsed="false">
      <c r="A3" s="5" t="s">
        <v>14</v>
      </c>
      <c r="B3" s="5" t="s">
        <v>15</v>
      </c>
      <c r="C3" s="5" t="s">
        <v>16</v>
      </c>
    </row>
    <row r="4" customFormat="false" ht="15" hidden="false" customHeight="false" outlineLevel="0" collapsed="false">
      <c r="A4" s="4" t="s">
        <v>17</v>
      </c>
      <c r="B4" s="6" t="n">
        <v>0.21</v>
      </c>
      <c r="C4" s="4" t="s">
        <v>18</v>
      </c>
    </row>
    <row r="5" customFormat="false" ht="15" hidden="false" customHeight="false" outlineLevel="0" collapsed="false">
      <c r="A5" s="4" t="s">
        <v>19</v>
      </c>
      <c r="B5" s="6" t="n">
        <v>0.029</v>
      </c>
      <c r="C5" s="4" t="s">
        <v>20</v>
      </c>
    </row>
    <row r="6" customFormat="false" ht="15" hidden="false" customHeight="false" outlineLevel="0" collapsed="false">
      <c r="A6" s="4" t="s">
        <v>21</v>
      </c>
      <c r="B6" s="7" t="n">
        <v>0.3</v>
      </c>
      <c r="C6" s="4" t="s">
        <v>22</v>
      </c>
    </row>
    <row r="7" customFormat="false" ht="15" hidden="false" customHeight="false" outlineLevel="0" collapsed="false">
      <c r="A7" s="4" t="s">
        <v>23</v>
      </c>
      <c r="B7" s="7" t="n">
        <v>7</v>
      </c>
      <c r="C7" s="4" t="s">
        <v>24</v>
      </c>
    </row>
    <row r="8" customFormat="false" ht="15" hidden="false" customHeight="false" outlineLevel="0" collapsed="false">
      <c r="A8" s="4" t="s">
        <v>25</v>
      </c>
      <c r="B8" s="7" t="n">
        <v>50</v>
      </c>
      <c r="C8" s="4" t="s">
        <v>26</v>
      </c>
    </row>
    <row r="9" customFormat="false" ht="15" hidden="false" customHeight="false" outlineLevel="0" collapsed="false">
      <c r="A9" s="4" t="s">
        <v>27</v>
      </c>
      <c r="B9" s="7" t="n">
        <v>10</v>
      </c>
      <c r="C9" s="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7"/>
  </cols>
  <sheetData>
    <row r="1" customFormat="false" ht="17.35" hidden="false" customHeight="false" outlineLevel="0" collapsed="false">
      <c r="A1" s="1" t="s">
        <v>29</v>
      </c>
      <c r="B1" s="3"/>
      <c r="C1" s="3"/>
      <c r="D1" s="3"/>
      <c r="E1" s="3"/>
      <c r="F1" s="3"/>
      <c r="G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</row>
    <row r="3" customFormat="false" ht="31.5" hidden="false" customHeight="true" outlineLevel="0" collapsed="false">
      <c r="A3" s="8" t="s">
        <v>30</v>
      </c>
      <c r="B3" s="8" t="s">
        <v>31</v>
      </c>
      <c r="C3" s="8" t="s">
        <v>32</v>
      </c>
      <c r="D3" s="8" t="s">
        <v>33</v>
      </c>
      <c r="E3" s="8" t="s">
        <v>34</v>
      </c>
      <c r="F3" s="8" t="s">
        <v>35</v>
      </c>
      <c r="G3" s="8" t="s">
        <v>36</v>
      </c>
    </row>
    <row r="4" customFormat="false" ht="15" hidden="false" customHeight="false" outlineLevel="0" collapsed="false">
      <c r="A4" s="4" t="s">
        <v>37</v>
      </c>
      <c r="B4" s="7" t="n">
        <v>24.9</v>
      </c>
      <c r="C4" s="7" t="n">
        <v>29.9</v>
      </c>
      <c r="D4" s="7" t="n">
        <v>29.9</v>
      </c>
      <c r="E4" s="7" t="n">
        <v>34.9</v>
      </c>
      <c r="F4" s="7" t="n">
        <v>29.9</v>
      </c>
      <c r="G4" s="7"/>
    </row>
    <row r="5" customFormat="false" ht="15" hidden="false" customHeight="false" outlineLevel="0" collapsed="false">
      <c r="A5" s="4" t="s">
        <v>38</v>
      </c>
      <c r="B5" s="7" t="n">
        <v>16</v>
      </c>
      <c r="C5" s="7" t="n">
        <v>14</v>
      </c>
      <c r="D5" s="7" t="n">
        <v>10</v>
      </c>
      <c r="E5" s="7" t="n">
        <v>14</v>
      </c>
      <c r="F5" s="7" t="n">
        <v>14.4</v>
      </c>
      <c r="G5" s="7"/>
    </row>
    <row r="6" customFormat="false" ht="15" hidden="false" customHeight="false" outlineLevel="0" collapsed="false">
      <c r="A6" s="4" t="s">
        <v>39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4" t="s">
        <v>40</v>
      </c>
      <c r="B7" s="7"/>
      <c r="C7" s="7"/>
      <c r="D7" s="7"/>
      <c r="E7" s="7"/>
      <c r="F7" s="7"/>
      <c r="G7" s="7"/>
    </row>
    <row r="8" customFormat="false" ht="15" hidden="false" customHeight="false" outlineLevel="0" collapsed="false">
      <c r="A8" s="4" t="s">
        <v>41</v>
      </c>
      <c r="B8" s="7"/>
      <c r="C8" s="7"/>
      <c r="D8" s="7"/>
      <c r="E8" s="7"/>
      <c r="F8" s="7"/>
      <c r="G8" s="7"/>
    </row>
    <row r="9" customFormat="false" ht="15" hidden="false" customHeight="false" outlineLevel="0" collapsed="false">
      <c r="A9" s="4" t="s">
        <v>42</v>
      </c>
      <c r="B9" s="7"/>
      <c r="C9" s="7"/>
      <c r="D9" s="7"/>
      <c r="E9" s="7"/>
      <c r="F9" s="7"/>
      <c r="G9" s="7"/>
    </row>
    <row r="10" customFormat="false" ht="15" hidden="false" customHeight="false" outlineLevel="0" collapsed="false">
      <c r="A10" s="4" t="s">
        <v>43</v>
      </c>
      <c r="B10" s="7"/>
      <c r="C10" s="7"/>
      <c r="D10" s="7"/>
      <c r="E10" s="7"/>
      <c r="F10" s="7"/>
      <c r="G10" s="7"/>
    </row>
    <row r="11" customFormat="false" ht="15" hidden="false" customHeight="false" outlineLevel="0" collapsed="false">
      <c r="A11" s="2" t="s">
        <v>44</v>
      </c>
      <c r="B11" s="9" t="n">
        <f aca="false">IF(SUM(B6:B10)&gt;0,SUM(B6:B10),B5)</f>
        <v>16</v>
      </c>
      <c r="C11" s="9" t="n">
        <f aca="false">IF(SUM(C6:C10)&gt;0,SUM(C6:C10),C5)</f>
        <v>14</v>
      </c>
      <c r="D11" s="9" t="n">
        <f aca="false">IF(SUM(D6:D10)&gt;0,SUM(D6:D10),D5)</f>
        <v>10</v>
      </c>
      <c r="E11" s="9" t="n">
        <f aca="false">IF(SUM(E6:E10)&gt;0,SUM(E6:E10),E5)</f>
        <v>14</v>
      </c>
      <c r="F11" s="9" t="n">
        <f aca="false">IF(SUM(F6:F10)&gt;0,SUM(F6:F10),F5)</f>
        <v>14.4</v>
      </c>
      <c r="G11" s="9" t="n">
        <f aca="false">IF(SUM(G6:G10)&gt;0,SUM(G6:G10),G5)</f>
        <v>0</v>
      </c>
    </row>
    <row r="12" customFormat="false" ht="15" hidden="false" customHeight="false" outlineLevel="0" collapsed="false">
      <c r="A12" s="4" t="s">
        <v>45</v>
      </c>
      <c r="B12" s="10" t="n">
        <v>3</v>
      </c>
      <c r="C12" s="10" t="n">
        <v>2.5</v>
      </c>
      <c r="D12" s="10" t="n">
        <v>2</v>
      </c>
      <c r="E12" s="10" t="n">
        <v>2.5</v>
      </c>
      <c r="F12" s="10" t="n">
        <v>2</v>
      </c>
      <c r="G12" s="10"/>
    </row>
    <row r="13" customFormat="false" ht="15" hidden="false" customHeight="false" outlineLevel="0" collapsed="false">
      <c r="A13" s="4" t="s">
        <v>46</v>
      </c>
      <c r="B13" s="9" t="n">
        <f aca="false">IF(B4="","",B4/(1+Supuestos!$B$4))</f>
        <v>20.5785123966942</v>
      </c>
      <c r="C13" s="9" t="n">
        <f aca="false">IF(C4="","",C4/(1+Supuestos!$B$4))</f>
        <v>24.7107438016529</v>
      </c>
      <c r="D13" s="9" t="n">
        <f aca="false">IF(D4="","",D4/(1+Supuestos!$B$4))</f>
        <v>24.7107438016529</v>
      </c>
      <c r="E13" s="9" t="n">
        <f aca="false">IF(E4="","",E4/(1+Supuestos!$B$4))</f>
        <v>28.8429752066116</v>
      </c>
      <c r="F13" s="9" t="n">
        <f aca="false">IF(F4="","",F4/(1+Supuestos!$B$4))</f>
        <v>24.7107438016529</v>
      </c>
      <c r="G13" s="9" t="str">
        <f aca="false">IF(G4="","",G4/(1+Supuestos!$B$4))</f>
        <v/>
      </c>
    </row>
    <row r="14" customFormat="false" ht="15" hidden="false" customHeight="false" outlineLevel="0" collapsed="false">
      <c r="A14" s="4" t="s">
        <v>47</v>
      </c>
      <c r="B14" s="9" t="n">
        <f aca="false">IF(B4="","",B4*Supuestos!$B$5+Supuestos!$B$6)</f>
        <v>1.0221</v>
      </c>
      <c r="C14" s="9" t="n">
        <f aca="false">IF(C4="","",C4*Supuestos!$B$5+Supuestos!$B$6)</f>
        <v>1.1671</v>
      </c>
      <c r="D14" s="9" t="n">
        <f aca="false">IF(D4="","",D4*Supuestos!$B$5+Supuestos!$B$6)</f>
        <v>1.1671</v>
      </c>
      <c r="E14" s="9" t="n">
        <f aca="false">IF(E4="","",E4*Supuestos!$B$5+Supuestos!$B$6)</f>
        <v>1.3121</v>
      </c>
      <c r="F14" s="9" t="n">
        <f aca="false">IF(F4="","",F4*Supuestos!$B$5+Supuestos!$B$6)</f>
        <v>1.1671</v>
      </c>
      <c r="G14" s="9" t="str">
        <f aca="false">IF(G4="","",G4*Supuestos!$B$5+Supuestos!$B$6)</f>
        <v/>
      </c>
    </row>
    <row r="15" customFormat="false" ht="15" hidden="false" customHeight="false" outlineLevel="0" collapsed="false">
      <c r="A15" s="2" t="s">
        <v>48</v>
      </c>
      <c r="B15" s="11" t="n">
        <f aca="false">IF(B4="","",B13-B11-B12-B14)</f>
        <v>0.556412396694215</v>
      </c>
      <c r="C15" s="11" t="n">
        <f aca="false">IF(C4="","",C13-C11-C12-C14)</f>
        <v>7.04364380165289</v>
      </c>
      <c r="D15" s="11" t="n">
        <f aca="false">IF(D4="","",D13-D11-D12-D14)</f>
        <v>11.5436438016529</v>
      </c>
      <c r="E15" s="11" t="n">
        <f aca="false">IF(E4="","",E13-E11-E12-E14)</f>
        <v>11.0308752066116</v>
      </c>
      <c r="F15" s="11" t="n">
        <f aca="false">IF(F4="","",F13-F11-F12-F14)</f>
        <v>7.14364380165289</v>
      </c>
      <c r="G15" s="11" t="str">
        <f aca="false">IF(G4="","",G13-G11-G12-G14)</f>
        <v/>
      </c>
    </row>
    <row r="16" customFormat="false" ht="15" hidden="false" customHeight="false" outlineLevel="0" collapsed="false">
      <c r="A16" s="4" t="s">
        <v>49</v>
      </c>
      <c r="B16" s="4" t="str">
        <f aca="false">IF(B4="","Sin datos",IF(B15&gt;=Supuestos!$B$7,"Sí","NO"))</f>
        <v>NO</v>
      </c>
      <c r="C16" s="4" t="str">
        <f aca="false">IF(C4="","Sin datos",IF(C15&gt;=Supuestos!$B$7,"Sí","NO"))</f>
        <v>Sí</v>
      </c>
      <c r="D16" s="4" t="str">
        <f aca="false">IF(D4="","Sin datos",IF(D15&gt;=Supuestos!$B$7,"Sí","NO"))</f>
        <v>Sí</v>
      </c>
      <c r="E16" s="4" t="str">
        <f aca="false">IF(E4="","Sin datos",IF(E15&gt;=Supuestos!$B$7,"Sí","NO"))</f>
        <v>Sí</v>
      </c>
      <c r="F16" s="4" t="str">
        <f aca="false">IF(F4="","Sin datos",IF(F15&gt;=Supuestos!$B$7,"Sí","NO"))</f>
        <v>Sí</v>
      </c>
      <c r="G16" s="4" t="str">
        <f aca="false">IF(G4="","Sin datos",IF(G15&gt;=Supuestos!$B$7,"Sí","NO"))</f>
        <v>Sin datos</v>
      </c>
    </row>
    <row r="17" customFormat="false" ht="15" hidden="false" customHeight="false" outlineLevel="0" collapsed="false">
      <c r="A17" s="4" t="s">
        <v>50</v>
      </c>
      <c r="B17" s="9" t="n">
        <f aca="false">IF(B4="","",B15-Supuestos!$B$9)</f>
        <v>-9.44358760330579</v>
      </c>
      <c r="C17" s="9" t="n">
        <f aca="false">IF(C4="","",C15-Supuestos!$B$9)</f>
        <v>-2.95635619834711</v>
      </c>
      <c r="D17" s="9" t="n">
        <f aca="false">IF(D4="","",D15-Supuestos!$B$9)</f>
        <v>1.54364380165289</v>
      </c>
      <c r="E17" s="9" t="n">
        <f aca="false">IF(E4="","",E15-Supuestos!$B$9)</f>
        <v>1.03087520661157</v>
      </c>
      <c r="F17" s="9" t="n">
        <f aca="false">IF(F4="","",F15-Supuestos!$B$9)</f>
        <v>-2.85635619834711</v>
      </c>
      <c r="G17" s="9" t="str">
        <f aca="false">IF(G4="","",G15-Supuestos!$B$9)</f>
        <v/>
      </c>
    </row>
    <row r="18" customFormat="false" ht="15" hidden="false" customHeight="false" outlineLevel="0" collapsed="false">
      <c r="A18" s="4" t="s">
        <v>51</v>
      </c>
      <c r="B18" s="4" t="n">
        <f aca="false">IF(B11&gt;0,INT(Supuestos!$B$8/B11),"Sin datos")</f>
        <v>3</v>
      </c>
      <c r="C18" s="4" t="n">
        <f aca="false">IF(C11&gt;0,INT(Supuestos!$B$8/C11),"Sin datos")</f>
        <v>3</v>
      </c>
      <c r="D18" s="4" t="n">
        <f aca="false">IF(D11&gt;0,INT(Supuestos!$B$8/D11),"Sin datos")</f>
        <v>5</v>
      </c>
      <c r="E18" s="4" t="n">
        <f aca="false">IF(E11&gt;0,INT(Supuestos!$B$8/E11),"Sin datos")</f>
        <v>3</v>
      </c>
      <c r="F18" s="4" t="n">
        <f aca="false">IF(F11&gt;0,INT(Supuestos!$B$8/F11),"Sin datos")</f>
        <v>3</v>
      </c>
      <c r="G18" s="4" t="str">
        <f aca="false">IF(G11&gt;0,INT(Supuestos!$B$8/G11),"Sin datos")</f>
        <v>Sin datos</v>
      </c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</row>
    <row r="20" customFormat="false" ht="15" hidden="false" customHeight="false" outlineLevel="0" collapsed="false">
      <c r="A20" s="2" t="s">
        <v>52</v>
      </c>
      <c r="B20" s="3"/>
      <c r="C20" s="3"/>
      <c r="D20" s="3"/>
      <c r="E20" s="3"/>
      <c r="F20" s="3"/>
      <c r="G20" s="3"/>
    </row>
    <row r="21" customFormat="false" ht="15" hidden="false" customHeight="false" outlineLevel="0" collapsed="false">
      <c r="A21" s="3" t="s">
        <v>53</v>
      </c>
      <c r="B21" s="3"/>
      <c r="C21" s="3"/>
      <c r="D21" s="3"/>
      <c r="E21" s="3"/>
      <c r="F21" s="3"/>
      <c r="G21" s="3"/>
    </row>
    <row r="22" customFormat="false" ht="15" hidden="false" customHeight="false" outlineLevel="0" collapsed="false">
      <c r="A22" s="3" t="s">
        <v>54</v>
      </c>
      <c r="B22" s="3"/>
      <c r="C22" s="3"/>
      <c r="D22" s="3"/>
      <c r="E22" s="3"/>
      <c r="F22" s="3"/>
      <c r="G22" s="3"/>
    </row>
    <row r="23" customFormat="false" ht="15" hidden="false" customHeight="false" outlineLevel="0" collapsed="false">
      <c r="A23" s="3" t="s">
        <v>55</v>
      </c>
      <c r="B23" s="3"/>
      <c r="C23" s="3"/>
      <c r="D23" s="3"/>
      <c r="E23" s="3"/>
      <c r="F23" s="3"/>
      <c r="G2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56</v>
      </c>
      <c r="B1" s="3"/>
      <c r="C1" s="3"/>
      <c r="D1" s="3"/>
      <c r="E1" s="3"/>
    </row>
    <row r="2" customFormat="false" ht="15" hidden="false" customHeight="false" outlineLevel="0" collapsed="false">
      <c r="A2" s="3" t="s">
        <v>57</v>
      </c>
      <c r="B2" s="3"/>
      <c r="C2" s="12" t="n">
        <f aca="false">Escenarios!C15</f>
        <v>7.04364380165289</v>
      </c>
      <c r="D2" s="3"/>
      <c r="E2" s="3"/>
    </row>
    <row r="3" customFormat="false" ht="15" hidden="false" customHeight="false" outlineLevel="0" collapsed="false">
      <c r="A3" s="3"/>
      <c r="B3" s="3"/>
      <c r="C3" s="3"/>
      <c r="D3" s="3"/>
      <c r="E3" s="3"/>
    </row>
    <row r="4" customFormat="false" ht="31.5" hidden="false" customHeight="true" outlineLevel="0" collapsed="false">
      <c r="A4" s="13" t="s">
        <v>58</v>
      </c>
      <c r="B4" s="13" t="s">
        <v>59</v>
      </c>
      <c r="C4" s="13" t="s">
        <v>60</v>
      </c>
      <c r="D4" s="13" t="s">
        <v>61</v>
      </c>
      <c r="E4" s="13" t="s">
        <v>62</v>
      </c>
    </row>
    <row r="5" customFormat="false" ht="15" hidden="false" customHeight="false" outlineLevel="0" collapsed="false">
      <c r="A5" s="14" t="n">
        <v>300</v>
      </c>
      <c r="B5" s="6" t="n">
        <v>0.005</v>
      </c>
      <c r="C5" s="15" t="n">
        <f aca="false">A5*B5</f>
        <v>1.5</v>
      </c>
      <c r="D5" s="16" t="n">
        <f aca="false">C5*$C$2</f>
        <v>10.5654657024793</v>
      </c>
      <c r="E5" s="16" t="n">
        <f aca="false">C5*Escenarios!$C$11</f>
        <v>21</v>
      </c>
    </row>
    <row r="6" customFormat="false" ht="15" hidden="false" customHeight="false" outlineLevel="0" collapsed="false">
      <c r="A6" s="14" t="n">
        <v>1000</v>
      </c>
      <c r="B6" s="6" t="n">
        <v>0.01</v>
      </c>
      <c r="C6" s="15" t="n">
        <f aca="false">A6*B6</f>
        <v>10</v>
      </c>
      <c r="D6" s="16" t="n">
        <f aca="false">C6*$C$2</f>
        <v>70.4364380165289</v>
      </c>
      <c r="E6" s="16" t="n">
        <f aca="false">C6*Escenarios!$C$11</f>
        <v>140</v>
      </c>
    </row>
    <row r="7" customFormat="false" ht="15" hidden="false" customHeight="false" outlineLevel="0" collapsed="false">
      <c r="A7" s="14" t="n">
        <v>3000</v>
      </c>
      <c r="B7" s="6" t="n">
        <v>0.01</v>
      </c>
      <c r="C7" s="15" t="n">
        <f aca="false">A7*B7</f>
        <v>30</v>
      </c>
      <c r="D7" s="16" t="n">
        <f aca="false">C7*$C$2</f>
        <v>211.309314049587</v>
      </c>
      <c r="E7" s="16" t="n">
        <f aca="false">C7*Escenarios!$C$11</f>
        <v>420</v>
      </c>
    </row>
    <row r="8" customFormat="false" ht="15" hidden="false" customHeight="false" outlineLevel="0" collapsed="false">
      <c r="A8" s="14" t="n">
        <v>10000</v>
      </c>
      <c r="B8" s="6" t="n">
        <v>0.015</v>
      </c>
      <c r="C8" s="15" t="n">
        <f aca="false">A8*B8</f>
        <v>150</v>
      </c>
      <c r="D8" s="16" t="n">
        <f aca="false">C8*$C$2</f>
        <v>1056.54657024793</v>
      </c>
      <c r="E8" s="16" t="n">
        <f aca="false">C8*Escenarios!$C$11</f>
        <v>2100</v>
      </c>
    </row>
    <row r="9" customFormat="false" ht="15" hidden="false" customHeight="false" outlineLevel="0" collapsed="false">
      <c r="A9" s="3"/>
      <c r="B9" s="3"/>
      <c r="C9" s="3"/>
      <c r="D9" s="3"/>
      <c r="E9" s="3"/>
    </row>
    <row r="10" customFormat="false" ht="15" hidden="false" customHeight="false" outlineLevel="0" collapsed="false">
      <c r="A10" s="3" t="s">
        <v>63</v>
      </c>
      <c r="B10" s="3"/>
      <c r="C10" s="3"/>
      <c r="D10" s="3"/>
      <c r="E1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2026-10-13T19:31:21Z</dcterms:created>
  <dc:creator>openpyxl</dc:creator>
  <dc:description/>
  <dc:language>en-US</dc:language>
  <cp:lastModifiedBy/>
  <dcterms:modified xsi:type="dcterms:W3CDTF">2026-10-13T19:31:21Z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