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ostes variables" sheetId="3" state="visible" r:id="rId3"/>
    <sheet xmlns:r="http://schemas.openxmlformats.org/officeDocument/2006/relationships" name="Test de precio" sheetId="4" state="visible" r:id="rId4"/>
    <sheet xmlns:r="http://schemas.openxmlformats.org/officeDocument/2006/relationships" name="Capital circulante" sheetId="5" state="visible" r:id="rId5"/>
    <sheet xmlns:r="http://schemas.openxmlformats.org/officeDocument/2006/relationships" name="Panel semanal" sheetId="6" state="visible" r:id="rId6"/>
    <sheet xmlns:r="http://schemas.openxmlformats.org/officeDocument/2006/relationships" name="Sensibilid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;($#,##0.0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72B3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5" fillId="3" borderId="0" pivotButton="0" quotePrefix="0" xfId="0"/>
    <xf numFmtId="165" fontId="5" fillId="3" borderId="0" pivotButton="0" quotePrefix="0" xfId="0"/>
    <xf numFmtId="1" fontId="5" fillId="3" borderId="0" pivotButton="0" quotePrefix="0" xfId="0"/>
    <xf numFmtId="165" fontId="7" fillId="0" borderId="0" pivotButton="0" quotePrefix="0" xfId="0"/>
    <xf numFmtId="165" fontId="2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6" fontId="5" fillId="3" borderId="0" pivotButton="0" quotePrefix="0" xfId="0"/>
    <xf numFmtId="0" fontId="6" fillId="0" borderId="0" pivotButton="0" quotePrefix="0" xfId="0"/>
    <xf numFmtId="49" fontId="5" fillId="3" borderId="0" pivotButton="0" quotePrefix="0" xfId="0"/>
    <xf numFmtId="3" fontId="5" fillId="3" borderId="0" pivotButton="0" quotePrefix="0" xfId="0"/>
    <xf numFmtId="166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Economía unitaria · VINCIRENA (marca provisional) · Mercado EE. UU. · USD · V2.2 (14/10/2026)</t>
        </is>
      </c>
    </row>
    <row r="2">
      <c r="A2" s="2" t="inlineStr">
        <is>
          <t>Ninguna celda contiene costes, precios ni umbrales reales: se rellenan con cotizaciones, facturas y decisiones del titular. Mientras falte un dato obligatorio, la hoja muestra «DATOS INCOMPLETOS».</t>
        </is>
      </c>
    </row>
    <row r="3">
      <c r="A3" s="3" t="inlineStr"/>
    </row>
    <row r="4">
      <c r="A4" s="2" t="inlineStr">
        <is>
          <t>Cómo usarlo</t>
        </is>
      </c>
    </row>
    <row r="5">
      <c r="A5" s="4" t="inlineStr">
        <is>
          <t>1. Celdas AMARILLAS con texto AZUL = datos editables. NEGRO = fórmulas. VERDE = enlaces entre hojas.</t>
        </is>
      </c>
    </row>
    <row r="6">
      <c r="A6" s="4" t="inlineStr">
        <is>
          <t>2. Rellena «Costes variables» (columna B) con datos reales por unidad/pedido en USD. Una celda VACÍA = «no lo sé» y bloquea el cálculo; un 0 escrito es un dato válido.</t>
        </is>
      </c>
    </row>
    <row r="7">
      <c r="A7" s="4" t="inlineStr">
        <is>
          <t>3. «Test de precio»: los precios son PUNTOS DE PRUEBA editables (no precios decididos). Cada fila descuenta TODAS las partidas variables y la comisión real si existe.</t>
        </is>
      </c>
    </row>
    <row r="8">
      <c r="A8" s="4" t="inlineStr">
        <is>
          <t>4. Impuestos: en EE. UU. el precio se muestra sin sales tax; el impuesto se calcula en el checkout y se ingresa al estado. No se resta del precio (a diferencia del IVA español de la V2).</t>
        </is>
      </c>
    </row>
    <row r="9">
      <c r="A9" s="4" t="inlineStr">
        <is>
          <t>5. No se modela LTV ni suscripción: el producto es reutilizable. La decisión se basa en el margen del primer pedido.</t>
        </is>
      </c>
    </row>
    <row r="10">
      <c r="A10" s="4" t="inlineStr">
        <is>
          <t>6. Contenido SIN doble conteo: «Costes variables» fila 11 = solo comisiones que se pagan POR CADA VENTA (afiliados, creadores). La PRODUCCIÓN de contenido (cuotas, muestras, edición) es gasto de captación y se anota solo en «Panel semanal», columna I.</t>
        </is>
      </c>
    </row>
    <row r="11">
      <c r="A11" s="4" t="inlineStr">
        <is>
          <t>7. «Panel semanal»: contribución ANTES de captación (pedidos × contribución unitaria) y DESPUÉS de captación (− anuncios − producción de contenido). CAC = (anuncios + producción de contenido) / pedidos.</t>
        </is>
      </c>
    </row>
    <row r="12">
      <c r="A12" s="4" t="inlineStr">
        <is>
          <t>8. Validación: las celdas editables rechazan negativos, porcentajes fuera de 0–100 % y texto. Si se pegan valores no válidos, la hoja muestra «DATOS NO VÁLIDOS» y no calcula.</t>
        </is>
      </c>
    </row>
    <row r="13">
      <c r="A13" s="3" t="inlineStr"/>
    </row>
    <row r="14">
      <c r="A14" s="2" t="inlineStr">
        <is>
          <t>Supuestos que hay que verificar</t>
        </is>
      </c>
    </row>
    <row r="15">
      <c r="A15" s="4" t="inlineStr">
        <is>
          <t>Comisión de pago: 2,9 % + 0,30 $ es un supuesto de partida (tarifa online publicada para planes básicos de Shopify Payments en EE. UU.); confirmar con el plan contratado.</t>
        </is>
      </c>
    </row>
    <row r="16">
      <c r="A16" s="4" t="inlineStr">
        <is>
          <t>Aranceles: el tratamiento de los envíos de bajo valor importados en EE. UU. (de minimis) ha cambiado recientemente; confirmar con el transitario o agente de aduanas antes de rellenar la partida.</t>
        </is>
      </c>
    </row>
    <row r="17">
      <c r="A17" s="4" t="inlineStr">
        <is>
          <t>Capital: el titular declaró 1–50 € para España; introducir el importe disponible en USD.</t>
        </is>
      </c>
    </row>
    <row r="18">
      <c r="A18" s="4" t="inlineStr">
        <is>
          <t>Versión anterior (España, EUR, con IVA): docs/archive/05_ECONOMIA_UNITARIA_ES_V2.xlsx.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70" customWidth="1" min="3" max="3"/>
  </cols>
  <sheetData>
    <row r="1">
      <c r="A1" s="1" t="inlineStr">
        <is>
          <t>Supuestos globales (USD)</t>
        </is>
      </c>
      <c r="B1" s="3" t="n"/>
      <c r="C1" s="3" t="n"/>
    </row>
    <row r="2">
      <c r="A2" s="3" t="n"/>
      <c r="B2" s="3" t="n"/>
      <c r="C2" s="3" t="n"/>
    </row>
    <row r="3" ht="34" customHeight="1">
      <c r="A3" s="5" t="inlineStr">
        <is>
          <t>Supuesto</t>
        </is>
      </c>
      <c r="B3" s="5" t="inlineStr">
        <is>
          <t>Valor</t>
        </is>
      </c>
      <c r="C3" s="5" t="inlineStr">
        <is>
          <t>Fuente / nota</t>
        </is>
      </c>
    </row>
    <row r="4">
      <c r="A4" s="4" t="inlineStr">
        <is>
          <t>Comisión de pago variable (supuesto)</t>
        </is>
      </c>
      <c r="B4" s="6" t="n">
        <v>0.029</v>
      </c>
      <c r="C4" s="4" t="inlineStr">
        <is>
          <t>Verificar con el plan de Shopify Payments contratado.</t>
        </is>
      </c>
    </row>
    <row r="5">
      <c r="A5" s="4" t="inlineStr">
        <is>
          <t>Comisión de pago fija por pedido (supuesto)</t>
        </is>
      </c>
      <c r="B5" s="7" t="n">
        <v>0.3</v>
      </c>
      <c r="C5" s="4" t="inlineStr">
        <is>
          <t>Verificar con el plan contratado.</t>
        </is>
      </c>
    </row>
    <row r="6">
      <c r="A6" s="4" t="inlineStr">
        <is>
          <t>Umbral mínimo de contribución por pedido</t>
        </is>
      </c>
      <c r="B6" s="7" t="n"/>
      <c r="C6" s="4" t="inlineStr">
        <is>
          <t>Decisión del titular. Vacío = sin veredicto.</t>
        </is>
      </c>
    </row>
    <row r="7">
      <c r="A7" s="4" t="inlineStr">
        <is>
          <t>Capital disponible para pedidos y reembolsos (USD)</t>
        </is>
      </c>
      <c r="B7" s="7" t="n"/>
      <c r="C7" s="4" t="inlineStr">
        <is>
          <t>Dato del titular.</t>
        </is>
      </c>
    </row>
    <row r="8">
      <c r="A8" s="4" t="inlineStr">
        <is>
          <t>CAC de referencia por cliente (USD)</t>
        </is>
      </c>
      <c r="B8" s="7" t="n"/>
      <c r="C8" s="4" t="inlineStr">
        <is>
          <t>Dato o hipótesis del titular. Vacío = no se calcula.</t>
        </is>
      </c>
    </row>
    <row r="9">
      <c r="A9" s="4" t="inlineStr">
        <is>
          <t>Días naturales hasta cobrar la liquidación</t>
        </is>
      </c>
      <c r="B9" s="8" t="n"/>
      <c r="C9" s="4" t="inlineStr">
        <is>
          <t>Verificar con Shopify Payments (calendario de pagos).</t>
        </is>
      </c>
    </row>
  </sheetData>
  <dataValidations count="3">
    <dataValidation sqref="B4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B5:B8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9" showDropDown="0" showInputMessage="0" showErrorMessage="1" allowBlank="1" errorTitle="Dato no válido" error="Introduce un número entero mayor o igual que 0." type="whole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2" customWidth="1" min="3" max="3"/>
    <col width="54" customWidth="1" min="4" max="4"/>
  </cols>
  <sheetData>
    <row r="1">
      <c r="A1" s="1" t="inlineStr">
        <is>
          <t>Costes variables REALES por pedido de 1 unidad (USD)</t>
        </is>
      </c>
      <c r="B1" s="3" t="n"/>
      <c r="C1" s="3" t="n"/>
      <c r="D1" s="3" t="n"/>
    </row>
    <row r="2">
      <c r="A2" s="2" t="inlineStr">
        <is>
          <t>Solo datos confirmados (cotizaciones, facturas, tarifas). Vacío = bloquea el cálculo.</t>
        </is>
      </c>
      <c r="B2" s="3" t="n"/>
      <c r="C2" s="3" t="n"/>
      <c r="D2" s="3" t="n"/>
    </row>
    <row r="3" ht="34" customHeight="1">
      <c r="A3" s="5" t="inlineStr">
        <is>
          <t>Partida</t>
        </is>
      </c>
      <c r="B3" s="5" t="inlineStr">
        <is>
          <t>Valor</t>
        </is>
      </c>
      <c r="C3" s="5" t="inlineStr">
        <is>
          <t>Obligatoria</t>
        </is>
      </c>
      <c r="D3" s="5" t="inlineStr">
        <is>
          <t>Fuente / nota</t>
        </is>
      </c>
    </row>
    <row r="4">
      <c r="A4" s="4" t="inlineStr">
        <is>
          <t>Producto: coste unitario del proveedor</t>
        </is>
      </c>
      <c r="B4" s="7" t="n"/>
      <c r="C4" s="4" t="inlineStr">
        <is>
          <t>Sí</t>
        </is>
      </c>
      <c r="D4" s="4" t="inlineStr">
        <is>
          <t>Cotización firmada del modelo exacto.</t>
        </is>
      </c>
    </row>
    <row r="5">
      <c r="A5" s="4" t="inlineStr">
        <is>
          <t>Flete internacional / inbound por unidad</t>
        </is>
      </c>
      <c r="B5" s="7" t="n"/>
      <c r="C5" s="4" t="inlineStr">
        <is>
          <t>Sí</t>
        </is>
      </c>
      <c r="D5" s="4" t="inlineStr">
        <is>
          <t>Prorrateado por unidad.</t>
        </is>
      </c>
    </row>
    <row r="6">
      <c r="A6" s="4" t="inlineStr">
        <is>
          <t>Aranceles, tasas y agente de aduanas por unidad</t>
        </is>
      </c>
      <c r="B6" s="7" t="n"/>
      <c r="C6" s="4" t="inlineStr">
        <is>
          <t>Sí</t>
        </is>
      </c>
      <c r="D6" s="4" t="inlineStr">
        <is>
          <t>Confirmar régimen vigente con el agente de aduanas.</t>
        </is>
      </c>
    </row>
    <row r="7">
      <c r="A7" s="4" t="inlineStr">
        <is>
          <t>Envío al cliente (última milla)</t>
        </is>
      </c>
      <c r="B7" s="7" t="n"/>
      <c r="C7" s="4" t="inlineStr">
        <is>
          <t>Sí</t>
        </is>
      </c>
      <c r="D7" s="4" t="inlineStr">
        <is>
          <t>Tarifa real del transportista.</t>
        </is>
      </c>
    </row>
    <row r="8">
      <c r="A8" s="4" t="inlineStr">
        <is>
          <t>Embalaje y preparación (fulfillment)</t>
        </is>
      </c>
      <c r="B8" s="7" t="n"/>
      <c r="C8" s="4" t="inlineStr">
        <is>
          <t>Sí</t>
        </is>
      </c>
      <c r="D8" s="4" t="inlineStr"/>
    </row>
    <row r="9">
      <c r="A9" s="4" t="inlineStr">
        <is>
          <t>Reserva por incidencias / contracargos por pedido</t>
        </is>
      </c>
      <c r="B9" s="7" t="n"/>
      <c r="C9" s="4" t="inlineStr">
        <is>
          <t>Sí</t>
        </is>
      </c>
      <c r="D9" s="4" t="inlineStr">
        <is>
          <t>Pérdidas, daños, fraude.</t>
        </is>
      </c>
    </row>
    <row r="10">
      <c r="A10" s="4" t="inlineStr">
        <is>
          <t>Atención al cliente por pedido</t>
        </is>
      </c>
      <c r="B10" s="7" t="n"/>
      <c r="C10" s="4" t="inlineStr">
        <is>
          <t>Sí</t>
        </is>
      </c>
      <c r="D10" s="4" t="inlineStr">
        <is>
          <t>Tiempo o herramientas imputables.</t>
        </is>
      </c>
    </row>
    <row r="11">
      <c r="A11" s="4" t="inlineStr">
        <is>
          <t>Comisiones POR VENTA a afiliados / creadores</t>
        </is>
      </c>
      <c r="B11" s="7" t="n"/>
      <c r="C11" s="4" t="inlineStr">
        <is>
          <t>Sí</t>
        </is>
      </c>
      <c r="D11" s="4" t="inlineStr">
        <is>
          <t>Solo lo que se paga por cada venta. La PRODUCCIÓN de contenido NO va aquí (es captación: Panel semanal, col. I). 0 si no hay.</t>
        </is>
      </c>
    </row>
    <row r="12">
      <c r="A12" s="4" t="inlineStr">
        <is>
          <t>Tasa de devolución esperada</t>
        </is>
      </c>
      <c r="B12" s="6" t="n"/>
      <c r="C12" s="4" t="inlineStr">
        <is>
          <t>Sí</t>
        </is>
      </c>
      <c r="D12" s="4" t="inlineStr">
        <is>
          <t>Dato real o prudente; 0 % solo si se documenta.</t>
        </is>
      </c>
    </row>
    <row r="13">
      <c r="A13" s="4" t="inlineStr">
        <is>
          <t>Coste por devolución (envío de vuelta + producto no recuperable)</t>
        </is>
      </c>
      <c r="B13" s="7" t="n"/>
      <c r="C13" s="4" t="inlineStr">
        <is>
          <t>Sí</t>
        </is>
      </c>
      <c r="D13" s="4" t="inlineStr">
        <is>
          <t>Por cada devolución.</t>
        </is>
      </c>
    </row>
    <row r="14">
      <c r="A14" s="4" t="inlineStr">
        <is>
          <t>Ingreso por envío cobrado al cliente</t>
        </is>
      </c>
      <c r="B14" s="7" t="n"/>
      <c r="C14" s="4" t="inlineStr">
        <is>
          <t>Sí</t>
        </is>
      </c>
      <c r="D14" s="4" t="inlineStr">
        <is>
          <t>0 si el envío es gratuito para el cliente.</t>
        </is>
      </c>
    </row>
    <row r="15">
      <c r="A15" s="4" t="inlineStr">
        <is>
          <t>Descuento medio por pedido</t>
        </is>
      </c>
      <c r="B15" s="7" t="n"/>
      <c r="C15" s="4" t="inlineStr">
        <is>
          <t>Sí</t>
        </is>
      </c>
      <c r="D15" s="4" t="inlineStr">
        <is>
          <t>0 si no hay descuentos.</t>
        </is>
      </c>
    </row>
    <row r="16">
      <c r="A16" s="4" t="inlineStr">
        <is>
          <t>Comisión de pago variable REAL (opcional)</t>
        </is>
      </c>
      <c r="B16" s="6" t="n"/>
      <c r="C16" s="4" t="inlineStr">
        <is>
          <t>No</t>
        </is>
      </c>
      <c r="D16" s="4" t="inlineStr">
        <is>
          <t>Vacío = usar Supuestos!B4.</t>
        </is>
      </c>
    </row>
    <row r="17">
      <c r="A17" s="4" t="inlineStr">
        <is>
          <t>Comisión de pago fija REAL (opcional)</t>
        </is>
      </c>
      <c r="B17" s="7" t="n"/>
      <c r="C17" s="4" t="inlineStr">
        <is>
          <t>No</t>
        </is>
      </c>
      <c r="D17" s="4" t="inlineStr">
        <is>
          <t>Vacío = usar Supuestos!B5.</t>
        </is>
      </c>
    </row>
    <row r="18">
      <c r="A18" s="3" t="n"/>
      <c r="B18" s="3" t="n"/>
      <c r="C18" s="3" t="n"/>
      <c r="D18" s="3" t="n"/>
    </row>
    <row r="19">
      <c r="A19" s="3" t="inlineStr">
        <is>
          <t>Partidas obligatorias rellenadas (de 12)</t>
        </is>
      </c>
      <c r="B19" s="3">
        <f>COUNT(B4:B15)</f>
        <v/>
      </c>
      <c r="C19" s="3" t="n"/>
      <c r="D19" s="3" t="n"/>
    </row>
    <row r="20">
      <c r="A20" s="2" t="inlineStr">
        <is>
          <t>Estado</t>
        </is>
      </c>
      <c r="B20" s="2">
        <f>IF(B28&gt;0,"DATOS NO VÁLIDOS",IF(B19=12,"COMPLETO","DATOS INCOMPLETOS"))</f>
        <v/>
      </c>
      <c r="C20" s="3" t="n"/>
      <c r="D20" s="3" t="n"/>
    </row>
    <row r="21">
      <c r="A21" s="3" t="inlineStr">
        <is>
          <t>Coste de producto puesto en cliente (filas 4–8)</t>
        </is>
      </c>
      <c r="B21" s="9">
        <f>IF($B$20="COMPLETO",SUM(B4:B8),$B$20)</f>
        <v/>
      </c>
      <c r="C21" s="3" t="n"/>
      <c r="D21" s="3" t="n"/>
    </row>
    <row r="22">
      <c r="A22" s="3" t="inlineStr">
        <is>
          <t>Coste esperado de devoluciones por pedido (fila 12 × fila 13)</t>
        </is>
      </c>
      <c r="B22" s="9">
        <f>IF($B$20="COMPLETO",B12*B13,$B$20)</f>
        <v/>
      </c>
      <c r="C22" s="3" t="n"/>
      <c r="D22" s="3" t="n"/>
    </row>
    <row r="23">
      <c r="A23" s="3" t="inlineStr">
        <is>
          <t>Otros costes variables por pedido (filas 9–11: incidencias, atención, comisiones por venta)</t>
        </is>
      </c>
      <c r="B23" s="9">
        <f>IF($B$20="COMPLETO",SUM(B9:B11),$B$20)</f>
        <v/>
      </c>
      <c r="C23" s="3" t="n"/>
      <c r="D23" s="3" t="n"/>
    </row>
    <row r="24">
      <c r="A24" s="2" t="inlineStr">
        <is>
          <t>Coste variable total por pedido (antes de comisión)</t>
        </is>
      </c>
      <c r="B24" s="10">
        <f>IF($B$20="COMPLETO",B21+B22+B23,$B$20)</f>
        <v/>
      </c>
      <c r="C24" s="3" t="n"/>
      <c r="D24" s="3" t="n"/>
    </row>
    <row r="25">
      <c r="A25" s="3" t="inlineStr">
        <is>
          <t>Comisión variable usada</t>
        </is>
      </c>
      <c r="B25" s="11">
        <f>IF(B16="",Supuestos!B4,B16)</f>
        <v/>
      </c>
      <c r="C25" s="3" t="n"/>
      <c r="D25" s="3" t="n"/>
    </row>
    <row r="26">
      <c r="A26" s="3" t="inlineStr">
        <is>
          <t>Comisión fija usada</t>
        </is>
      </c>
      <c r="B26" s="9">
        <f>IF(B17="",Supuestos!B5,B17)</f>
        <v/>
      </c>
      <c r="C26" s="3" t="n"/>
      <c r="D26" s="3" t="n"/>
    </row>
    <row r="27">
      <c r="A27" s="3" t="inlineStr">
        <is>
          <t>Desembolso antes de cobrar (filas 4–8)</t>
        </is>
      </c>
      <c r="B27" s="9">
        <f>IF($B$20="COMPLETO",SUM(B4:B8),$B$20)</f>
        <v/>
      </c>
      <c r="C27" s="3" t="n"/>
      <c r="D27" s="3" t="n"/>
    </row>
    <row r="28">
      <c r="A28" s="3" t="inlineStr">
        <is>
          <t>Entradas no válidas (negativos, % fuera de 0–100 %, texto), aquí y en «Supuestos»</t>
        </is>
      </c>
      <c r="B28" s="3">
        <f>COUNTIF(B4:B17,"&lt;0")+(COUNTA(B4:B17)-COUNT(B4:B17))+IF(ISNUMBER(B12),--(B12&gt;1),0)+IF(ISNUMBER(B16),--(B16&gt;1),0)+COUNTIF(Supuestos!B4:B9,"&lt;0")+(COUNTA(Supuestos!B4:B9)-COUNT(Supuestos!B4:B9))+IF(ISNUMBER(Supuestos!B4),--(Supuestos!B4&gt;1),0)</f>
        <v/>
      </c>
      <c r="C28" s="3" t="n"/>
      <c r="D28" s="3" t="n"/>
    </row>
  </sheetData>
  <conditionalFormatting sqref="B20:B28">
    <cfRule type="expression" priority="1" dxfId="0">
      <formula>OR($B$20="DATOS INCOMPLETOS",$B$20="DATOS NO VÁLIDOS")</formula>
    </cfRule>
  </conditionalFormatting>
  <dataValidations count="14">
    <dataValidation sqref="B4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5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6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7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8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9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0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1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2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B13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4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5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16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B17" showDropDown="0" showInputMessage="0" showErrorMessage="1" allowBlank="1" errorTitle="Dato no válido" error="Introduce un importe en USD mayor o igual que 0." type="decimal" errorStyle="stop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4" customWidth="1" min="3" max="3"/>
    <col width="18" customWidth="1" min="4" max="4"/>
    <col width="16" customWidth="1" min="5" max="5"/>
    <col width="20" customWidth="1" min="6" max="6"/>
    <col width="18" customWidth="1" min="7" max="7"/>
    <col width="22" customWidth="1" min="8" max="8"/>
    <col width="18" customWidth="1" min="9" max="9"/>
  </cols>
  <sheetData>
    <row r="1">
      <c r="A1" s="1" t="inlineStr">
        <is>
          <t>Test de precio · puntos de prueba en USD (no son precios decididos)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>
      <c r="A2" s="2" t="inlineStr">
        <is>
          <t>Cada fila descuenta TODAS las partidas de «Costes variables» y la comisión real si existe.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4" customHeight="1">
      <c r="A4" s="5" t="inlineStr">
        <is>
          <t>Precio de prueba (sin sales tax)</t>
        </is>
      </c>
      <c r="B4" s="5" t="inlineStr">
        <is>
          <t>Ingreso del pedido (precio − descuento + envío cobrado)</t>
        </is>
      </c>
      <c r="C4" s="5" t="inlineStr">
        <is>
          <t>Comisión de pago</t>
        </is>
      </c>
      <c r="D4" s="5" t="inlineStr">
        <is>
          <t>Coste producto puesto en cliente</t>
        </is>
      </c>
      <c r="E4" s="5" t="inlineStr">
        <is>
          <t>Devoluciones esperadas</t>
        </is>
      </c>
      <c r="F4" s="5" t="inlineStr">
        <is>
          <t>Incidencias + atención + comisiones por venta</t>
        </is>
      </c>
      <c r="G4" s="5" t="inlineStr">
        <is>
          <t>Contribución por pedido ANTES de captación</t>
        </is>
      </c>
      <c r="H4" s="5" t="inlineStr">
        <is>
          <t>Veredicto frente al umbral</t>
        </is>
      </c>
      <c r="I4" s="5" t="inlineStr">
        <is>
          <t>Contribución DESPUÉS de captación (CAC de referencia)</t>
        </is>
      </c>
    </row>
    <row r="5">
      <c r="A5" s="7" t="n">
        <v>24.99</v>
      </c>
      <c r="B5" s="9">
        <f>IF(A5="","—",A5-'Costes variables'!$B$15+'Costes variables'!$B$14)</f>
        <v/>
      </c>
      <c r="C5" s="9">
        <f>IF(A5="","—",B5*'Costes variables'!$B$25+'Costes variables'!$B$26)</f>
        <v/>
      </c>
      <c r="D5" s="12">
        <f>'Costes variables'!$B$21</f>
        <v/>
      </c>
      <c r="E5" s="12">
        <f>'Costes variables'!$B$22</f>
        <v/>
      </c>
      <c r="F5" s="12">
        <f>'Costes variables'!$B$23</f>
        <v/>
      </c>
      <c r="G5" s="10">
        <f>IF(A5="","DATOS INCOMPLETOS",IF(OR(NOT(ISNUMBER(A5)),'Costes variables'!$B$20="DATOS NO VÁLIDOS"),"DATOS NO VÁLIDOS",IF(A5&lt;=0,"DATOS NO VÁLIDOS",IF(NOT('Costes variables'!$B$20="COMPLETO"),"DATOS INCOMPLETOS",B5-C5-D5-E5-F5))))</f>
        <v/>
      </c>
      <c r="H5" s="2">
        <f>IF(NOT(ISNUMBER(G5)),G5,IF(Supuestos!$B$6="","Umbral sin definir",IF(G5&gt;=Supuestos!$B$6,"Supera umbral","No supera")))</f>
        <v/>
      </c>
      <c r="I5" s="9">
        <f>IF(NOT(ISNUMBER(G5)),G5,IF(Supuestos!$B$8="","CAC sin definir",G5-Supuestos!$B$8))</f>
        <v/>
      </c>
    </row>
    <row r="6">
      <c r="A6" s="7" t="n">
        <v>29.99</v>
      </c>
      <c r="B6" s="9">
        <f>IF(A6="","—",A6-'Costes variables'!$B$15+'Costes variables'!$B$14)</f>
        <v/>
      </c>
      <c r="C6" s="9">
        <f>IF(A6="","—",B6*'Costes variables'!$B$25+'Costes variables'!$B$26)</f>
        <v/>
      </c>
      <c r="D6" s="12">
        <f>'Costes variables'!$B$21</f>
        <v/>
      </c>
      <c r="E6" s="12">
        <f>'Costes variables'!$B$22</f>
        <v/>
      </c>
      <c r="F6" s="12">
        <f>'Costes variables'!$B$23</f>
        <v/>
      </c>
      <c r="G6" s="10">
        <f>IF(A6="","DATOS INCOMPLETOS",IF(OR(NOT(ISNUMBER(A6)),'Costes variables'!$B$20="DATOS NO VÁLIDOS"),"DATOS NO VÁLIDOS",IF(A6&lt;=0,"DATOS NO VÁLIDOS",IF(NOT('Costes variables'!$B$20="COMPLETO"),"DATOS INCOMPLETOS",B6-C6-D6-E6-F6))))</f>
        <v/>
      </c>
      <c r="H6" s="2">
        <f>IF(NOT(ISNUMBER(G6)),G6,IF(Supuestos!$B$6="","Umbral sin definir",IF(G6&gt;=Supuestos!$B$6,"Supera umbral","No supera")))</f>
        <v/>
      </c>
      <c r="I6" s="9">
        <f>IF(NOT(ISNUMBER(G6)),G6,IF(Supuestos!$B$8="","CAC sin definir",G6-Supuestos!$B$8))</f>
        <v/>
      </c>
    </row>
    <row r="7">
      <c r="A7" s="7" t="n">
        <v>34.99</v>
      </c>
      <c r="B7" s="9">
        <f>IF(A7="","—",A7-'Costes variables'!$B$15+'Costes variables'!$B$14)</f>
        <v/>
      </c>
      <c r="C7" s="9">
        <f>IF(A7="","—",B7*'Costes variables'!$B$25+'Costes variables'!$B$26)</f>
        <v/>
      </c>
      <c r="D7" s="12">
        <f>'Costes variables'!$B$21</f>
        <v/>
      </c>
      <c r="E7" s="12">
        <f>'Costes variables'!$B$22</f>
        <v/>
      </c>
      <c r="F7" s="12">
        <f>'Costes variables'!$B$23</f>
        <v/>
      </c>
      <c r="G7" s="10">
        <f>IF(A7="","DATOS INCOMPLETOS",IF(OR(NOT(ISNUMBER(A7)),'Costes variables'!$B$20="DATOS NO VÁLIDOS"),"DATOS NO VÁLIDOS",IF(A7&lt;=0,"DATOS NO VÁLIDOS",IF(NOT('Costes variables'!$B$20="COMPLETO"),"DATOS INCOMPLETOS",B7-C7-D7-E7-F7))))</f>
        <v/>
      </c>
      <c r="H7" s="2">
        <f>IF(NOT(ISNUMBER(G7)),G7,IF(Supuestos!$B$6="","Umbral sin definir",IF(G7&gt;=Supuestos!$B$6,"Supera umbral","No supera")))</f>
        <v/>
      </c>
      <c r="I7" s="9">
        <f>IF(NOT(ISNUMBER(G7)),G7,IF(Supuestos!$B$8="","CAC sin definir",G7-Supuestos!$B$8))</f>
        <v/>
      </c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inlineStr">
        <is>
          <t>Comprobación: contribución antes de captación = ingreso − comisión − coste producto − devoluciones − (incidencias + atención + comisiones por venta). Después de captación = antes − CAC de referencia (Supuestos!B8). Ninguna partida se omite ni se cuenta dos veces.</t>
        </is>
      </c>
      <c r="B9" s="3" t="n"/>
      <c r="C9" s="3" t="n"/>
      <c r="D9" s="3" t="n"/>
      <c r="E9" s="3" t="n"/>
      <c r="F9" s="3" t="n"/>
      <c r="G9" s="3" t="n"/>
      <c r="H9" s="3" t="n"/>
      <c r="I9" s="3" t="n"/>
    </row>
  </sheetData>
  <conditionalFormatting sqref="G5:I7">
    <cfRule type="expression" priority="1" dxfId="0">
      <formula>NOT(ISNUMBER($G5))</formula>
    </cfRule>
  </conditionalFormatting>
  <dataValidations count="3">
    <dataValidation sqref="A5" showDropDown="0" showInputMessage="0" showErrorMessage="1" allowBlank="1" errorTitle="Dato no válido" error="El precio de prueba debe ser mayor que 0." type="decimal" errorStyle="stop" operator="greaterThan">
      <formula1>0</formula1>
    </dataValidation>
    <dataValidation sqref="A6" showDropDown="0" showInputMessage="0" showErrorMessage="1" allowBlank="1" errorTitle="Dato no válido" error="El precio de prueba debe ser mayor que 0." type="decimal" errorStyle="stop" operator="greaterThan">
      <formula1>0</formula1>
    </dataValidation>
    <dataValidation sqref="A7" showDropDown="0" showInputMessage="0" showErrorMessage="1" allowBlank="1" errorTitle="Dato no válido" error="El precio de prueba debe ser mayor que 0." type="decimal" errorStyle="stop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40" customWidth="1" min="3" max="3"/>
  </cols>
  <sheetData>
    <row r="1">
      <c r="A1" s="1" t="inlineStr">
        <is>
          <t>Capital necesario antes de cobrar las liquidaciones (USD)</t>
        </is>
      </c>
      <c r="B1" s="3" t="n"/>
      <c r="C1" s="3" t="n"/>
    </row>
    <row r="2">
      <c r="A2" s="3" t="n"/>
      <c r="B2" s="3" t="n"/>
      <c r="C2" s="3" t="n"/>
    </row>
    <row r="3" ht="34" customHeight="1">
      <c r="A3" s="5" t="inlineStr">
        <is>
          <t>Concepto</t>
        </is>
      </c>
      <c r="B3" s="5" t="inlineStr">
        <is>
          <t>Valor</t>
        </is>
      </c>
      <c r="C3" s="5" t="inlineStr">
        <is>
          <t>Nota</t>
        </is>
      </c>
    </row>
    <row r="4">
      <c r="A4" s="3" t="inlineStr">
        <is>
          <t>Pedidos por día a cubrir</t>
        </is>
      </c>
      <c r="B4" s="13" t="n"/>
      <c r="C4" s="3" t="inlineStr">
        <is>
          <t>Escenario de ventas del titular</t>
        </is>
      </c>
    </row>
    <row r="5">
      <c r="A5" s="3" t="inlineStr">
        <is>
          <t>Días hasta cobrar</t>
        </is>
      </c>
      <c r="B5" s="14">
        <f>Supuestos!B9</f>
        <v/>
      </c>
      <c r="C5" s="3" t="n"/>
    </row>
    <row r="6">
      <c r="A6" s="3" t="inlineStr">
        <is>
          <t>Desembolso por pedido antes de cobrar</t>
        </is>
      </c>
      <c r="B6" s="12">
        <f>'Costes variables'!B27</f>
        <v/>
      </c>
      <c r="C6" s="3" t="n"/>
    </row>
    <row r="7">
      <c r="A7" s="3" t="inlineStr">
        <is>
          <t>Colchón para reembolsos (pedidos equivalentes)</t>
        </is>
      </c>
      <c r="B7" s="8" t="n"/>
      <c r="C7" s="3" t="inlineStr">
        <is>
          <t>Decisión del titular</t>
        </is>
      </c>
    </row>
    <row r="8">
      <c r="A8" s="2" t="inlineStr">
        <is>
          <t>Capital necesario</t>
        </is>
      </c>
      <c r="B8" s="10">
        <f>IF(OR(B4="",B5="",B7=""),"DATOS INCOMPLETOS",IF(OR(NOT(ISNUMBER(B4)),NOT(ISNUMBER(B7)),B4&lt;0,B7&lt;0),"DATOS NO VÁLIDOS",IF(NOT(ISNUMBER(B6)),B6,B4*B5*B6+B7*B6)))</f>
        <v/>
      </c>
      <c r="C8" s="3" t="n"/>
    </row>
    <row r="9">
      <c r="A9" s="3" t="inlineStr">
        <is>
          <t>Capital disponible</t>
        </is>
      </c>
      <c r="B9" s="12">
        <f>IF(Supuestos!B7="","—",Supuestos!B7)</f>
        <v/>
      </c>
      <c r="C9" s="3" t="n"/>
    </row>
    <row r="10">
      <c r="A10" s="3" t="inlineStr">
        <is>
          <t>¿Suficiente?</t>
        </is>
      </c>
      <c r="B10" s="2">
        <f>IF(NOT(ISNUMBER(B8)),B8,IF(B9="—","DATOS INCOMPLETOS",IF(B9&gt;=B8,"Sí","INSUFICIENTE")))</f>
        <v/>
      </c>
      <c r="C10" s="3" t="n"/>
    </row>
  </sheetData>
  <dataValidations count="2">
    <dataValidation sqref="B4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B7" showDropDown="0" showInputMessage="0" showErrorMessage="1" allowBlank="1" errorTitle="Dato no válido" error="Introduce un número entero mayor o igual que 0." type="whole" errorStyle="stop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" t="inlineStr">
        <is>
          <t>Panel semanal (datos de Shopify Analytics, en USD)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</row>
    <row r="2">
      <c r="A2" s="3" t="inlineStr">
        <is>
          <t>Precio de venta actual (USD, sin sales tax):</t>
        </is>
      </c>
      <c r="B2" s="3" t="n"/>
      <c r="C2" s="3" t="n"/>
      <c r="D2" s="7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</row>
    <row r="3" ht="34" customHeight="1">
      <c r="A3" s="5" t="inlineStr">
        <is>
          <t>Semana</t>
        </is>
      </c>
      <c r="B3" s="5" t="inlineStr">
        <is>
          <t>Sesiones</t>
        </is>
      </c>
      <c r="C3" s="5" t="inlineStr">
        <is>
          <t>Sesiones con vista de producto</t>
        </is>
      </c>
      <c r="D3" s="5" t="inlineStr">
        <is>
          <t>Sesiones con ATC</t>
        </is>
      </c>
      <c r="E3" s="5" t="inlineStr">
        <is>
          <t>Sesiones con checkout</t>
        </is>
      </c>
      <c r="F3" s="5" t="inlineStr">
        <is>
          <t>Pedidos</t>
        </is>
      </c>
      <c r="G3" s="5" t="inlineStr">
        <is>
          <t>Ventas brutas (USD)</t>
        </is>
      </c>
      <c r="H3" s="5" t="inlineStr">
        <is>
          <t>Gasto en anuncios (USD)</t>
        </is>
      </c>
      <c r="I3" s="5" t="inlineStr">
        <is>
          <t>Producción de contenido (USD; sin comisiones por venta)</t>
        </is>
      </c>
      <c r="J3" s="5" t="inlineStr">
        <is>
          <t>Devoluciones (nº)</t>
        </is>
      </c>
      <c r="K3" s="5" t="inlineStr">
        <is>
          <t>Conversión tienda</t>
        </is>
      </c>
      <c r="L3" s="5" t="inlineStr">
        <is>
          <t>ATC / vistas producto</t>
        </is>
      </c>
      <c r="M3" s="5" t="inlineStr">
        <is>
          <t>Checkout / ATC</t>
        </is>
      </c>
      <c r="N3" s="5" t="inlineStr">
        <is>
          <t>AOV</t>
        </is>
      </c>
      <c r="O3" s="5" t="inlineStr">
        <is>
          <t>CAC (anuncios + contenido) / pedidos</t>
        </is>
      </c>
      <c r="P3" s="5" t="inlineStr">
        <is>
          <t>Contribución ANTES de captación</t>
        </is>
      </c>
      <c r="Q3" s="5" t="inlineStr">
        <is>
          <t>Captación total (H + I)</t>
        </is>
      </c>
      <c r="R3" s="5" t="inlineStr">
        <is>
          <t>Contribución DESPUÉS de captación</t>
        </is>
      </c>
      <c r="S3" s="5" t="inlineStr">
        <is>
          <t>Tasa devolución</t>
        </is>
      </c>
      <c r="T3" s="5" t="inlineStr">
        <is>
          <t>Validación de la fila</t>
        </is>
      </c>
    </row>
    <row r="4">
      <c r="A4" s="15" t="n"/>
      <c r="B4" s="16" t="n"/>
      <c r="C4" s="16" t="n"/>
      <c r="D4" s="16" t="n"/>
      <c r="E4" s="16" t="n"/>
      <c r="F4" s="16" t="n"/>
      <c r="G4" s="7" t="n"/>
      <c r="H4" s="7" t="n"/>
      <c r="I4" s="7" t="n"/>
      <c r="J4" s="16" t="n"/>
      <c r="K4" s="11">
        <f>IF($T4="DATOS NO VÁLIDOS","DATOS NO VÁLIDOS",IF(OR(B4="",B4=0,F4=""),"",F4/B4))</f>
        <v/>
      </c>
      <c r="L4" s="11">
        <f>IF($T4="DATOS NO VÁLIDOS","DATOS NO VÁLIDOS",IF(OR(C4="",C4=0,D4=""),"",D4/C4))</f>
        <v/>
      </c>
      <c r="M4" s="11">
        <f>IF($T4="DATOS NO VÁLIDOS","DATOS NO VÁLIDOS",IF(OR(D4="",D4=0,E4=""),"",E4/D4))</f>
        <v/>
      </c>
      <c r="N4" s="9">
        <f>IF($T4="DATOS NO VÁLIDOS","DATOS NO VÁLIDOS",IF(OR(F4="",F4=0,G4=""),"",G4/F4))</f>
        <v/>
      </c>
      <c r="O4" s="9">
        <f>IF($T4="DATOS NO VÁLIDOS","DATOS NO VÁLIDOS",IF(OR(F4="",F4=0,Q4=""),"",Q4/F4))</f>
        <v/>
      </c>
      <c r="P4" s="9">
        <f>IF($T4="DATOS NO VÁLIDOS","DATOS NO VÁLIDOS",IF(F4="","",IF(ISNUMBER($D$19),F4*$D$19,$D$19)))</f>
        <v/>
      </c>
      <c r="Q4" s="9">
        <f>IF($T4="DATOS NO VÁLIDOS","DATOS NO VÁLIDOS",IF(H4="","",H4+IF(I4="",0,I4)))</f>
        <v/>
      </c>
      <c r="R4" s="9">
        <f>IF($T4="DATOS NO VÁLIDOS","DATOS NO VÁLIDOS",IF(OR(P4="",Q4=""),"",IF(ISNUMBER(P4),P4-Q4,P4)))</f>
        <v/>
      </c>
      <c r="S4" s="11">
        <f>IF($T4="DATOS NO VÁLIDOS","DATOS NO VÁLIDOS",IF(OR(F4="",F4=0,J4=""),"",J4/F4))</f>
        <v/>
      </c>
      <c r="T4" s="2">
        <f>IF(COUNTA(B4:J4)=0,"",IF(OR(COUNTA(B4:J4)&lt;&gt;COUNT(B4:J4),COUNTIF(B4:J4,"&lt;0")&gt;0,AND(ISNUMBER(C4),ISNUMBER(B4),C4&gt;B4),AND(ISNUMBER(D4),ISNUMBER(C4),D4&gt;C4),AND(ISNUMBER(E4),ISNUMBER(D4),E4&gt;D4)),"DATOS NO VÁLIDOS","OK"))</f>
        <v/>
      </c>
    </row>
    <row r="5">
      <c r="A5" s="15" t="n"/>
      <c r="B5" s="16" t="n"/>
      <c r="C5" s="16" t="n"/>
      <c r="D5" s="16" t="n"/>
      <c r="E5" s="16" t="n"/>
      <c r="F5" s="16" t="n"/>
      <c r="G5" s="7" t="n"/>
      <c r="H5" s="7" t="n"/>
      <c r="I5" s="7" t="n"/>
      <c r="J5" s="16" t="n"/>
      <c r="K5" s="11">
        <f>IF($T5="DATOS NO VÁLIDOS","DATOS NO VÁLIDOS",IF(OR(B5="",B5=0,F5=""),"",F5/B5))</f>
        <v/>
      </c>
      <c r="L5" s="11">
        <f>IF($T5="DATOS NO VÁLIDOS","DATOS NO VÁLIDOS",IF(OR(C5="",C5=0,D5=""),"",D5/C5))</f>
        <v/>
      </c>
      <c r="M5" s="11">
        <f>IF($T5="DATOS NO VÁLIDOS","DATOS NO VÁLIDOS",IF(OR(D5="",D5=0,E5=""),"",E5/D5))</f>
        <v/>
      </c>
      <c r="N5" s="9">
        <f>IF($T5="DATOS NO VÁLIDOS","DATOS NO VÁLIDOS",IF(OR(F5="",F5=0,G5=""),"",G5/F5))</f>
        <v/>
      </c>
      <c r="O5" s="9">
        <f>IF($T5="DATOS NO VÁLIDOS","DATOS NO VÁLIDOS",IF(OR(F5="",F5=0,Q5=""),"",Q5/F5))</f>
        <v/>
      </c>
      <c r="P5" s="9">
        <f>IF($T5="DATOS NO VÁLIDOS","DATOS NO VÁLIDOS",IF(F5="","",IF(ISNUMBER($D$19),F5*$D$19,$D$19)))</f>
        <v/>
      </c>
      <c r="Q5" s="9">
        <f>IF($T5="DATOS NO VÁLIDOS","DATOS NO VÁLIDOS",IF(H5="","",H5+IF(I5="",0,I5)))</f>
        <v/>
      </c>
      <c r="R5" s="9">
        <f>IF($T5="DATOS NO VÁLIDOS","DATOS NO VÁLIDOS",IF(OR(P5="",Q5=""),"",IF(ISNUMBER(P5),P5-Q5,P5)))</f>
        <v/>
      </c>
      <c r="S5" s="11">
        <f>IF($T5="DATOS NO VÁLIDOS","DATOS NO VÁLIDOS",IF(OR(F5="",F5=0,J5=""),"",J5/F5))</f>
        <v/>
      </c>
      <c r="T5" s="2">
        <f>IF(COUNTA(B5:J5)=0,"",IF(OR(COUNTA(B5:J5)&lt;&gt;COUNT(B5:J5),COUNTIF(B5:J5,"&lt;0")&gt;0,AND(ISNUMBER(C5),ISNUMBER(B5),C5&gt;B5),AND(ISNUMBER(D5),ISNUMBER(C5),D5&gt;C5),AND(ISNUMBER(E5),ISNUMBER(D5),E5&gt;D5)),"DATOS NO VÁLIDOS","OK"))</f>
        <v/>
      </c>
    </row>
    <row r="6">
      <c r="A6" s="15" t="n"/>
      <c r="B6" s="16" t="n"/>
      <c r="C6" s="16" t="n"/>
      <c r="D6" s="16" t="n"/>
      <c r="E6" s="16" t="n"/>
      <c r="F6" s="16" t="n"/>
      <c r="G6" s="7" t="n"/>
      <c r="H6" s="7" t="n"/>
      <c r="I6" s="7" t="n"/>
      <c r="J6" s="16" t="n"/>
      <c r="K6" s="11">
        <f>IF($T6="DATOS NO VÁLIDOS","DATOS NO VÁLIDOS",IF(OR(B6="",B6=0,F6=""),"",F6/B6))</f>
        <v/>
      </c>
      <c r="L6" s="11">
        <f>IF($T6="DATOS NO VÁLIDOS","DATOS NO VÁLIDOS",IF(OR(C6="",C6=0,D6=""),"",D6/C6))</f>
        <v/>
      </c>
      <c r="M6" s="11">
        <f>IF($T6="DATOS NO VÁLIDOS","DATOS NO VÁLIDOS",IF(OR(D6="",D6=0,E6=""),"",E6/D6))</f>
        <v/>
      </c>
      <c r="N6" s="9">
        <f>IF($T6="DATOS NO VÁLIDOS","DATOS NO VÁLIDOS",IF(OR(F6="",F6=0,G6=""),"",G6/F6))</f>
        <v/>
      </c>
      <c r="O6" s="9">
        <f>IF($T6="DATOS NO VÁLIDOS","DATOS NO VÁLIDOS",IF(OR(F6="",F6=0,Q6=""),"",Q6/F6))</f>
        <v/>
      </c>
      <c r="P6" s="9">
        <f>IF($T6="DATOS NO VÁLIDOS","DATOS NO VÁLIDOS",IF(F6="","",IF(ISNUMBER($D$19),F6*$D$19,$D$19)))</f>
        <v/>
      </c>
      <c r="Q6" s="9">
        <f>IF($T6="DATOS NO VÁLIDOS","DATOS NO VÁLIDOS",IF(H6="","",H6+IF(I6="",0,I6)))</f>
        <v/>
      </c>
      <c r="R6" s="9">
        <f>IF($T6="DATOS NO VÁLIDOS","DATOS NO VÁLIDOS",IF(OR(P6="",Q6=""),"",IF(ISNUMBER(P6),P6-Q6,P6)))</f>
        <v/>
      </c>
      <c r="S6" s="11">
        <f>IF($T6="DATOS NO VÁLIDOS","DATOS NO VÁLIDOS",IF(OR(F6="",F6=0,J6=""),"",J6/F6))</f>
        <v/>
      </c>
      <c r="T6" s="2">
        <f>IF(COUNTA(B6:J6)=0,"",IF(OR(COUNTA(B6:J6)&lt;&gt;COUNT(B6:J6),COUNTIF(B6:J6,"&lt;0")&gt;0,AND(ISNUMBER(C6),ISNUMBER(B6),C6&gt;B6),AND(ISNUMBER(D6),ISNUMBER(C6),D6&gt;C6),AND(ISNUMBER(E6),ISNUMBER(D6),E6&gt;D6)),"DATOS NO VÁLIDOS","OK"))</f>
        <v/>
      </c>
    </row>
    <row r="7">
      <c r="A7" s="15" t="n"/>
      <c r="B7" s="16" t="n"/>
      <c r="C7" s="16" t="n"/>
      <c r="D7" s="16" t="n"/>
      <c r="E7" s="16" t="n"/>
      <c r="F7" s="16" t="n"/>
      <c r="G7" s="7" t="n"/>
      <c r="H7" s="7" t="n"/>
      <c r="I7" s="7" t="n"/>
      <c r="J7" s="16" t="n"/>
      <c r="K7" s="11">
        <f>IF($T7="DATOS NO VÁLIDOS","DATOS NO VÁLIDOS",IF(OR(B7="",B7=0,F7=""),"",F7/B7))</f>
        <v/>
      </c>
      <c r="L7" s="11">
        <f>IF($T7="DATOS NO VÁLIDOS","DATOS NO VÁLIDOS",IF(OR(C7="",C7=0,D7=""),"",D7/C7))</f>
        <v/>
      </c>
      <c r="M7" s="11">
        <f>IF($T7="DATOS NO VÁLIDOS","DATOS NO VÁLIDOS",IF(OR(D7="",D7=0,E7=""),"",E7/D7))</f>
        <v/>
      </c>
      <c r="N7" s="9">
        <f>IF($T7="DATOS NO VÁLIDOS","DATOS NO VÁLIDOS",IF(OR(F7="",F7=0,G7=""),"",G7/F7))</f>
        <v/>
      </c>
      <c r="O7" s="9">
        <f>IF($T7="DATOS NO VÁLIDOS","DATOS NO VÁLIDOS",IF(OR(F7="",F7=0,Q7=""),"",Q7/F7))</f>
        <v/>
      </c>
      <c r="P7" s="9">
        <f>IF($T7="DATOS NO VÁLIDOS","DATOS NO VÁLIDOS",IF(F7="","",IF(ISNUMBER($D$19),F7*$D$19,$D$19)))</f>
        <v/>
      </c>
      <c r="Q7" s="9">
        <f>IF($T7="DATOS NO VÁLIDOS","DATOS NO VÁLIDOS",IF(H7="","",H7+IF(I7="",0,I7)))</f>
        <v/>
      </c>
      <c r="R7" s="9">
        <f>IF($T7="DATOS NO VÁLIDOS","DATOS NO VÁLIDOS",IF(OR(P7="",Q7=""),"",IF(ISNUMBER(P7),P7-Q7,P7)))</f>
        <v/>
      </c>
      <c r="S7" s="11">
        <f>IF($T7="DATOS NO VÁLIDOS","DATOS NO VÁLIDOS",IF(OR(F7="",F7=0,J7=""),"",J7/F7))</f>
        <v/>
      </c>
      <c r="T7" s="2">
        <f>IF(COUNTA(B7:J7)=0,"",IF(OR(COUNTA(B7:J7)&lt;&gt;COUNT(B7:J7),COUNTIF(B7:J7,"&lt;0")&gt;0,AND(ISNUMBER(C7),ISNUMBER(B7),C7&gt;B7),AND(ISNUMBER(D7),ISNUMBER(C7),D7&gt;C7),AND(ISNUMBER(E7),ISNUMBER(D7),E7&gt;D7)),"DATOS NO VÁLIDOS","OK"))</f>
        <v/>
      </c>
    </row>
    <row r="8">
      <c r="A8" s="15" t="n"/>
      <c r="B8" s="16" t="n"/>
      <c r="C8" s="16" t="n"/>
      <c r="D8" s="16" t="n"/>
      <c r="E8" s="16" t="n"/>
      <c r="F8" s="16" t="n"/>
      <c r="G8" s="7" t="n"/>
      <c r="H8" s="7" t="n"/>
      <c r="I8" s="7" t="n"/>
      <c r="J8" s="16" t="n"/>
      <c r="K8" s="11">
        <f>IF($T8="DATOS NO VÁLIDOS","DATOS NO VÁLIDOS",IF(OR(B8="",B8=0,F8=""),"",F8/B8))</f>
        <v/>
      </c>
      <c r="L8" s="11">
        <f>IF($T8="DATOS NO VÁLIDOS","DATOS NO VÁLIDOS",IF(OR(C8="",C8=0,D8=""),"",D8/C8))</f>
        <v/>
      </c>
      <c r="M8" s="11">
        <f>IF($T8="DATOS NO VÁLIDOS","DATOS NO VÁLIDOS",IF(OR(D8="",D8=0,E8=""),"",E8/D8))</f>
        <v/>
      </c>
      <c r="N8" s="9">
        <f>IF($T8="DATOS NO VÁLIDOS","DATOS NO VÁLIDOS",IF(OR(F8="",F8=0,G8=""),"",G8/F8))</f>
        <v/>
      </c>
      <c r="O8" s="9">
        <f>IF($T8="DATOS NO VÁLIDOS","DATOS NO VÁLIDOS",IF(OR(F8="",F8=0,Q8=""),"",Q8/F8))</f>
        <v/>
      </c>
      <c r="P8" s="9">
        <f>IF($T8="DATOS NO VÁLIDOS","DATOS NO VÁLIDOS",IF(F8="","",IF(ISNUMBER($D$19),F8*$D$19,$D$19)))</f>
        <v/>
      </c>
      <c r="Q8" s="9">
        <f>IF($T8="DATOS NO VÁLIDOS","DATOS NO VÁLIDOS",IF(H8="","",H8+IF(I8="",0,I8)))</f>
        <v/>
      </c>
      <c r="R8" s="9">
        <f>IF($T8="DATOS NO VÁLIDOS","DATOS NO VÁLIDOS",IF(OR(P8="",Q8=""),"",IF(ISNUMBER(P8),P8-Q8,P8)))</f>
        <v/>
      </c>
      <c r="S8" s="11">
        <f>IF($T8="DATOS NO VÁLIDOS","DATOS NO VÁLIDOS",IF(OR(F8="",F8=0,J8=""),"",J8/F8))</f>
        <v/>
      </c>
      <c r="T8" s="2">
        <f>IF(COUNTA(B8:J8)=0,"",IF(OR(COUNTA(B8:J8)&lt;&gt;COUNT(B8:J8),COUNTIF(B8:J8,"&lt;0")&gt;0,AND(ISNUMBER(C8),ISNUMBER(B8),C8&gt;B8),AND(ISNUMBER(D8),ISNUMBER(C8),D8&gt;C8),AND(ISNUMBER(E8),ISNUMBER(D8),E8&gt;D8)),"DATOS NO VÁLIDOS","OK"))</f>
        <v/>
      </c>
    </row>
    <row r="9">
      <c r="A9" s="15" t="n"/>
      <c r="B9" s="16" t="n"/>
      <c r="C9" s="16" t="n"/>
      <c r="D9" s="16" t="n"/>
      <c r="E9" s="16" t="n"/>
      <c r="F9" s="16" t="n"/>
      <c r="G9" s="7" t="n"/>
      <c r="H9" s="7" t="n"/>
      <c r="I9" s="7" t="n"/>
      <c r="J9" s="16" t="n"/>
      <c r="K9" s="11">
        <f>IF($T9="DATOS NO VÁLIDOS","DATOS NO VÁLIDOS",IF(OR(B9="",B9=0,F9=""),"",F9/B9))</f>
        <v/>
      </c>
      <c r="L9" s="11">
        <f>IF($T9="DATOS NO VÁLIDOS","DATOS NO VÁLIDOS",IF(OR(C9="",C9=0,D9=""),"",D9/C9))</f>
        <v/>
      </c>
      <c r="M9" s="11">
        <f>IF($T9="DATOS NO VÁLIDOS","DATOS NO VÁLIDOS",IF(OR(D9="",D9=0,E9=""),"",E9/D9))</f>
        <v/>
      </c>
      <c r="N9" s="9">
        <f>IF($T9="DATOS NO VÁLIDOS","DATOS NO VÁLIDOS",IF(OR(F9="",F9=0,G9=""),"",G9/F9))</f>
        <v/>
      </c>
      <c r="O9" s="9">
        <f>IF($T9="DATOS NO VÁLIDOS","DATOS NO VÁLIDOS",IF(OR(F9="",F9=0,Q9=""),"",Q9/F9))</f>
        <v/>
      </c>
      <c r="P9" s="9">
        <f>IF($T9="DATOS NO VÁLIDOS","DATOS NO VÁLIDOS",IF(F9="","",IF(ISNUMBER($D$19),F9*$D$19,$D$19)))</f>
        <v/>
      </c>
      <c r="Q9" s="9">
        <f>IF($T9="DATOS NO VÁLIDOS","DATOS NO VÁLIDOS",IF(H9="","",H9+IF(I9="",0,I9)))</f>
        <v/>
      </c>
      <c r="R9" s="9">
        <f>IF($T9="DATOS NO VÁLIDOS","DATOS NO VÁLIDOS",IF(OR(P9="",Q9=""),"",IF(ISNUMBER(P9),P9-Q9,P9)))</f>
        <v/>
      </c>
      <c r="S9" s="11">
        <f>IF($T9="DATOS NO VÁLIDOS","DATOS NO VÁLIDOS",IF(OR(F9="",F9=0,J9=""),"",J9/F9))</f>
        <v/>
      </c>
      <c r="T9" s="2">
        <f>IF(COUNTA(B9:J9)=0,"",IF(OR(COUNTA(B9:J9)&lt;&gt;COUNT(B9:J9),COUNTIF(B9:J9,"&lt;0")&gt;0,AND(ISNUMBER(C9),ISNUMBER(B9),C9&gt;B9),AND(ISNUMBER(D9),ISNUMBER(C9),D9&gt;C9),AND(ISNUMBER(E9),ISNUMBER(D9),E9&gt;D9)),"DATOS NO VÁLIDOS","OK"))</f>
        <v/>
      </c>
    </row>
    <row r="10">
      <c r="A10" s="15" t="n"/>
      <c r="B10" s="16" t="n"/>
      <c r="C10" s="16" t="n"/>
      <c r="D10" s="16" t="n"/>
      <c r="E10" s="16" t="n"/>
      <c r="F10" s="16" t="n"/>
      <c r="G10" s="7" t="n"/>
      <c r="H10" s="7" t="n"/>
      <c r="I10" s="7" t="n"/>
      <c r="J10" s="16" t="n"/>
      <c r="K10" s="11">
        <f>IF($T10="DATOS NO VÁLIDOS","DATOS NO VÁLIDOS",IF(OR(B10="",B10=0,F10=""),"",F10/B10))</f>
        <v/>
      </c>
      <c r="L10" s="11">
        <f>IF($T10="DATOS NO VÁLIDOS","DATOS NO VÁLIDOS",IF(OR(C10="",C10=0,D10=""),"",D10/C10))</f>
        <v/>
      </c>
      <c r="M10" s="11">
        <f>IF($T10="DATOS NO VÁLIDOS","DATOS NO VÁLIDOS",IF(OR(D10="",D10=0,E10=""),"",E10/D10))</f>
        <v/>
      </c>
      <c r="N10" s="9">
        <f>IF($T10="DATOS NO VÁLIDOS","DATOS NO VÁLIDOS",IF(OR(F10="",F10=0,G10=""),"",G10/F10))</f>
        <v/>
      </c>
      <c r="O10" s="9">
        <f>IF($T10="DATOS NO VÁLIDOS","DATOS NO VÁLIDOS",IF(OR(F10="",F10=0,Q10=""),"",Q10/F10))</f>
        <v/>
      </c>
      <c r="P10" s="9">
        <f>IF($T10="DATOS NO VÁLIDOS","DATOS NO VÁLIDOS",IF(F10="","",IF(ISNUMBER($D$19),F10*$D$19,$D$19)))</f>
        <v/>
      </c>
      <c r="Q10" s="9">
        <f>IF($T10="DATOS NO VÁLIDOS","DATOS NO VÁLIDOS",IF(H10="","",H10+IF(I10="",0,I10)))</f>
        <v/>
      </c>
      <c r="R10" s="9">
        <f>IF($T10="DATOS NO VÁLIDOS","DATOS NO VÁLIDOS",IF(OR(P10="",Q10=""),"",IF(ISNUMBER(P10),P10-Q10,P10)))</f>
        <v/>
      </c>
      <c r="S10" s="11">
        <f>IF($T10="DATOS NO VÁLIDOS","DATOS NO VÁLIDOS",IF(OR(F10="",F10=0,J10=""),"",J10/F10))</f>
        <v/>
      </c>
      <c r="T10" s="2">
        <f>IF(COUNTA(B10:J10)=0,"",IF(OR(COUNTA(B10:J10)&lt;&gt;COUNT(B10:J10),COUNTIF(B10:J10,"&lt;0")&gt;0,AND(ISNUMBER(C10),ISNUMBER(B10),C10&gt;B10),AND(ISNUMBER(D10),ISNUMBER(C10),D10&gt;C10),AND(ISNUMBER(E10),ISNUMBER(D10),E10&gt;D10)),"DATOS NO VÁLIDOS","OK"))</f>
        <v/>
      </c>
    </row>
    <row r="11">
      <c r="A11" s="15" t="n"/>
      <c r="B11" s="16" t="n"/>
      <c r="C11" s="16" t="n"/>
      <c r="D11" s="16" t="n"/>
      <c r="E11" s="16" t="n"/>
      <c r="F11" s="16" t="n"/>
      <c r="G11" s="7" t="n"/>
      <c r="H11" s="7" t="n"/>
      <c r="I11" s="7" t="n"/>
      <c r="J11" s="16" t="n"/>
      <c r="K11" s="11">
        <f>IF($T11="DATOS NO VÁLIDOS","DATOS NO VÁLIDOS",IF(OR(B11="",B11=0,F11=""),"",F11/B11))</f>
        <v/>
      </c>
      <c r="L11" s="11">
        <f>IF($T11="DATOS NO VÁLIDOS","DATOS NO VÁLIDOS",IF(OR(C11="",C11=0,D11=""),"",D11/C11))</f>
        <v/>
      </c>
      <c r="M11" s="11">
        <f>IF($T11="DATOS NO VÁLIDOS","DATOS NO VÁLIDOS",IF(OR(D11="",D11=0,E11=""),"",E11/D11))</f>
        <v/>
      </c>
      <c r="N11" s="9">
        <f>IF($T11="DATOS NO VÁLIDOS","DATOS NO VÁLIDOS",IF(OR(F11="",F11=0,G11=""),"",G11/F11))</f>
        <v/>
      </c>
      <c r="O11" s="9">
        <f>IF($T11="DATOS NO VÁLIDOS","DATOS NO VÁLIDOS",IF(OR(F11="",F11=0,Q11=""),"",Q11/F11))</f>
        <v/>
      </c>
      <c r="P11" s="9">
        <f>IF($T11="DATOS NO VÁLIDOS","DATOS NO VÁLIDOS",IF(F11="","",IF(ISNUMBER($D$19),F11*$D$19,$D$19)))</f>
        <v/>
      </c>
      <c r="Q11" s="9">
        <f>IF($T11="DATOS NO VÁLIDOS","DATOS NO VÁLIDOS",IF(H11="","",H11+IF(I11="",0,I11)))</f>
        <v/>
      </c>
      <c r="R11" s="9">
        <f>IF($T11="DATOS NO VÁLIDOS","DATOS NO VÁLIDOS",IF(OR(P11="",Q11=""),"",IF(ISNUMBER(P11),P11-Q11,P11)))</f>
        <v/>
      </c>
      <c r="S11" s="11">
        <f>IF($T11="DATOS NO VÁLIDOS","DATOS NO VÁLIDOS",IF(OR(F11="",F11=0,J11=""),"",J11/F11))</f>
        <v/>
      </c>
      <c r="T11" s="2">
        <f>IF(COUNTA(B11:J11)=0,"",IF(OR(COUNTA(B11:J11)&lt;&gt;COUNT(B11:J11),COUNTIF(B11:J11,"&lt;0")&gt;0,AND(ISNUMBER(C11),ISNUMBER(B11),C11&gt;B11),AND(ISNUMBER(D11),ISNUMBER(C11),D11&gt;C11),AND(ISNUMBER(E11),ISNUMBER(D11),E11&gt;D11)),"DATOS NO VÁLIDOS","OK"))</f>
        <v/>
      </c>
    </row>
    <row r="12">
      <c r="A12" s="15" t="n"/>
      <c r="B12" s="16" t="n"/>
      <c r="C12" s="16" t="n"/>
      <c r="D12" s="16" t="n"/>
      <c r="E12" s="16" t="n"/>
      <c r="F12" s="16" t="n"/>
      <c r="G12" s="7" t="n"/>
      <c r="H12" s="7" t="n"/>
      <c r="I12" s="7" t="n"/>
      <c r="J12" s="16" t="n"/>
      <c r="K12" s="11">
        <f>IF($T12="DATOS NO VÁLIDOS","DATOS NO VÁLIDOS",IF(OR(B12="",B12=0,F12=""),"",F12/B12))</f>
        <v/>
      </c>
      <c r="L12" s="11">
        <f>IF($T12="DATOS NO VÁLIDOS","DATOS NO VÁLIDOS",IF(OR(C12="",C12=0,D12=""),"",D12/C12))</f>
        <v/>
      </c>
      <c r="M12" s="11">
        <f>IF($T12="DATOS NO VÁLIDOS","DATOS NO VÁLIDOS",IF(OR(D12="",D12=0,E12=""),"",E12/D12))</f>
        <v/>
      </c>
      <c r="N12" s="9">
        <f>IF($T12="DATOS NO VÁLIDOS","DATOS NO VÁLIDOS",IF(OR(F12="",F12=0,G12=""),"",G12/F12))</f>
        <v/>
      </c>
      <c r="O12" s="9">
        <f>IF($T12="DATOS NO VÁLIDOS","DATOS NO VÁLIDOS",IF(OR(F12="",F12=0,Q12=""),"",Q12/F12))</f>
        <v/>
      </c>
      <c r="P12" s="9">
        <f>IF($T12="DATOS NO VÁLIDOS","DATOS NO VÁLIDOS",IF(F12="","",IF(ISNUMBER($D$19),F12*$D$19,$D$19)))</f>
        <v/>
      </c>
      <c r="Q12" s="9">
        <f>IF($T12="DATOS NO VÁLIDOS","DATOS NO VÁLIDOS",IF(H12="","",H12+IF(I12="",0,I12)))</f>
        <v/>
      </c>
      <c r="R12" s="9">
        <f>IF($T12="DATOS NO VÁLIDOS","DATOS NO VÁLIDOS",IF(OR(P12="",Q12=""),"",IF(ISNUMBER(P12),P12-Q12,P12)))</f>
        <v/>
      </c>
      <c r="S12" s="11">
        <f>IF($T12="DATOS NO VÁLIDOS","DATOS NO VÁLIDOS",IF(OR(F12="",F12=0,J12=""),"",J12/F12))</f>
        <v/>
      </c>
      <c r="T12" s="2">
        <f>IF(COUNTA(B12:J12)=0,"",IF(OR(COUNTA(B12:J12)&lt;&gt;COUNT(B12:J12),COUNTIF(B12:J12,"&lt;0")&gt;0,AND(ISNUMBER(C12),ISNUMBER(B12),C12&gt;B12),AND(ISNUMBER(D12),ISNUMBER(C12),D12&gt;C12),AND(ISNUMBER(E12),ISNUMBER(D12),E12&gt;D12)),"DATOS NO VÁLIDOS","OK"))</f>
        <v/>
      </c>
    </row>
    <row r="13">
      <c r="A13" s="15" t="n"/>
      <c r="B13" s="16" t="n"/>
      <c r="C13" s="16" t="n"/>
      <c r="D13" s="16" t="n"/>
      <c r="E13" s="16" t="n"/>
      <c r="F13" s="16" t="n"/>
      <c r="G13" s="7" t="n"/>
      <c r="H13" s="7" t="n"/>
      <c r="I13" s="7" t="n"/>
      <c r="J13" s="16" t="n"/>
      <c r="K13" s="11">
        <f>IF($T13="DATOS NO VÁLIDOS","DATOS NO VÁLIDOS",IF(OR(B13="",B13=0,F13=""),"",F13/B13))</f>
        <v/>
      </c>
      <c r="L13" s="11">
        <f>IF($T13="DATOS NO VÁLIDOS","DATOS NO VÁLIDOS",IF(OR(C13="",C13=0,D13=""),"",D13/C13))</f>
        <v/>
      </c>
      <c r="M13" s="11">
        <f>IF($T13="DATOS NO VÁLIDOS","DATOS NO VÁLIDOS",IF(OR(D13="",D13=0,E13=""),"",E13/D13))</f>
        <v/>
      </c>
      <c r="N13" s="9">
        <f>IF($T13="DATOS NO VÁLIDOS","DATOS NO VÁLIDOS",IF(OR(F13="",F13=0,G13=""),"",G13/F13))</f>
        <v/>
      </c>
      <c r="O13" s="9">
        <f>IF($T13="DATOS NO VÁLIDOS","DATOS NO VÁLIDOS",IF(OR(F13="",F13=0,Q13=""),"",Q13/F13))</f>
        <v/>
      </c>
      <c r="P13" s="9">
        <f>IF($T13="DATOS NO VÁLIDOS","DATOS NO VÁLIDOS",IF(F13="","",IF(ISNUMBER($D$19),F13*$D$19,$D$19)))</f>
        <v/>
      </c>
      <c r="Q13" s="9">
        <f>IF($T13="DATOS NO VÁLIDOS","DATOS NO VÁLIDOS",IF(H13="","",H13+IF(I13="",0,I13)))</f>
        <v/>
      </c>
      <c r="R13" s="9">
        <f>IF($T13="DATOS NO VÁLIDOS","DATOS NO VÁLIDOS",IF(OR(P13="",Q13=""),"",IF(ISNUMBER(P13),P13-Q13,P13)))</f>
        <v/>
      </c>
      <c r="S13" s="11">
        <f>IF($T13="DATOS NO VÁLIDOS","DATOS NO VÁLIDOS",IF(OR(F13="",F13=0,J13=""),"",J13/F13))</f>
        <v/>
      </c>
      <c r="T13" s="2">
        <f>IF(COUNTA(B13:J13)=0,"",IF(OR(COUNTA(B13:J13)&lt;&gt;COUNT(B13:J13),COUNTIF(B13:J13,"&lt;0")&gt;0,AND(ISNUMBER(C13),ISNUMBER(B13),C13&gt;B13),AND(ISNUMBER(D13),ISNUMBER(C13),D13&gt;C13),AND(ISNUMBER(E13),ISNUMBER(D13),E13&gt;D13)),"DATOS NO VÁLIDOS","OK"))</f>
        <v/>
      </c>
    </row>
    <row r="14">
      <c r="A14" s="15" t="n"/>
      <c r="B14" s="16" t="n"/>
      <c r="C14" s="16" t="n"/>
      <c r="D14" s="16" t="n"/>
      <c r="E14" s="16" t="n"/>
      <c r="F14" s="16" t="n"/>
      <c r="G14" s="7" t="n"/>
      <c r="H14" s="7" t="n"/>
      <c r="I14" s="7" t="n"/>
      <c r="J14" s="16" t="n"/>
      <c r="K14" s="11">
        <f>IF($T14="DATOS NO VÁLIDOS","DATOS NO VÁLIDOS",IF(OR(B14="",B14=0,F14=""),"",F14/B14))</f>
        <v/>
      </c>
      <c r="L14" s="11">
        <f>IF($T14="DATOS NO VÁLIDOS","DATOS NO VÁLIDOS",IF(OR(C14="",C14=0,D14=""),"",D14/C14))</f>
        <v/>
      </c>
      <c r="M14" s="11">
        <f>IF($T14="DATOS NO VÁLIDOS","DATOS NO VÁLIDOS",IF(OR(D14="",D14=0,E14=""),"",E14/D14))</f>
        <v/>
      </c>
      <c r="N14" s="9">
        <f>IF($T14="DATOS NO VÁLIDOS","DATOS NO VÁLIDOS",IF(OR(F14="",F14=0,G14=""),"",G14/F14))</f>
        <v/>
      </c>
      <c r="O14" s="9">
        <f>IF($T14="DATOS NO VÁLIDOS","DATOS NO VÁLIDOS",IF(OR(F14="",F14=0,Q14=""),"",Q14/F14))</f>
        <v/>
      </c>
      <c r="P14" s="9">
        <f>IF($T14="DATOS NO VÁLIDOS","DATOS NO VÁLIDOS",IF(F14="","",IF(ISNUMBER($D$19),F14*$D$19,$D$19)))</f>
        <v/>
      </c>
      <c r="Q14" s="9">
        <f>IF($T14="DATOS NO VÁLIDOS","DATOS NO VÁLIDOS",IF(H14="","",H14+IF(I14="",0,I14)))</f>
        <v/>
      </c>
      <c r="R14" s="9">
        <f>IF($T14="DATOS NO VÁLIDOS","DATOS NO VÁLIDOS",IF(OR(P14="",Q14=""),"",IF(ISNUMBER(P14),P14-Q14,P14)))</f>
        <v/>
      </c>
      <c r="S14" s="11">
        <f>IF($T14="DATOS NO VÁLIDOS","DATOS NO VÁLIDOS",IF(OR(F14="",F14=0,J14=""),"",J14/F14))</f>
        <v/>
      </c>
      <c r="T14" s="2">
        <f>IF(COUNTA(B14:J14)=0,"",IF(OR(COUNTA(B14:J14)&lt;&gt;COUNT(B14:J14),COUNTIF(B14:J14,"&lt;0")&gt;0,AND(ISNUMBER(C14),ISNUMBER(B14),C14&gt;B14),AND(ISNUMBER(D14),ISNUMBER(C14),D14&gt;C14),AND(ISNUMBER(E14),ISNUMBER(D14),E14&gt;D14)),"DATOS NO VÁLIDOS","OK"))</f>
        <v/>
      </c>
    </row>
    <row r="15">
      <c r="A15" s="15" t="n"/>
      <c r="B15" s="16" t="n"/>
      <c r="C15" s="16" t="n"/>
      <c r="D15" s="16" t="n"/>
      <c r="E15" s="16" t="n"/>
      <c r="F15" s="16" t="n"/>
      <c r="G15" s="7" t="n"/>
      <c r="H15" s="7" t="n"/>
      <c r="I15" s="7" t="n"/>
      <c r="J15" s="16" t="n"/>
      <c r="K15" s="11">
        <f>IF($T15="DATOS NO VÁLIDOS","DATOS NO VÁLIDOS",IF(OR(B15="",B15=0,F15=""),"",F15/B15))</f>
        <v/>
      </c>
      <c r="L15" s="11">
        <f>IF($T15="DATOS NO VÁLIDOS","DATOS NO VÁLIDOS",IF(OR(C15="",C15=0,D15=""),"",D15/C15))</f>
        <v/>
      </c>
      <c r="M15" s="11">
        <f>IF($T15="DATOS NO VÁLIDOS","DATOS NO VÁLIDOS",IF(OR(D15="",D15=0,E15=""),"",E15/D15))</f>
        <v/>
      </c>
      <c r="N15" s="9">
        <f>IF($T15="DATOS NO VÁLIDOS","DATOS NO VÁLIDOS",IF(OR(F15="",F15=0,G15=""),"",G15/F15))</f>
        <v/>
      </c>
      <c r="O15" s="9">
        <f>IF($T15="DATOS NO VÁLIDOS","DATOS NO VÁLIDOS",IF(OR(F15="",F15=0,Q15=""),"",Q15/F15))</f>
        <v/>
      </c>
      <c r="P15" s="9">
        <f>IF($T15="DATOS NO VÁLIDOS","DATOS NO VÁLIDOS",IF(F15="","",IF(ISNUMBER($D$19),F15*$D$19,$D$19)))</f>
        <v/>
      </c>
      <c r="Q15" s="9">
        <f>IF($T15="DATOS NO VÁLIDOS","DATOS NO VÁLIDOS",IF(H15="","",H15+IF(I15="",0,I15)))</f>
        <v/>
      </c>
      <c r="R15" s="9">
        <f>IF($T15="DATOS NO VÁLIDOS","DATOS NO VÁLIDOS",IF(OR(P15="",Q15=""),"",IF(ISNUMBER(P15),P15-Q15,P15)))</f>
        <v/>
      </c>
      <c r="S15" s="11">
        <f>IF($T15="DATOS NO VÁLIDOS","DATOS NO VÁLIDOS",IF(OR(F15="",F15=0,J15=""),"",J15/F15))</f>
        <v/>
      </c>
      <c r="T15" s="2">
        <f>IF(COUNTA(B15:J15)=0,"",IF(OR(COUNTA(B15:J15)&lt;&gt;COUNT(B15:J15),COUNTIF(B15:J15,"&lt;0")&gt;0,AND(ISNUMBER(C15),ISNUMBER(B15),C15&gt;B15),AND(ISNUMBER(D15),ISNUMBER(C15),D15&gt;C15),AND(ISNUMBER(E15),ISNUMBER(D15),E15&gt;D15)),"DATOS NO VÁLIDOS","OK"))</f>
        <v/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</row>
    <row r="17">
      <c r="A17" s="3" t="inlineStr">
        <is>
          <t>Definiciones: conversión = pedidos/sesiones · ATC = sesiones con añadir al carrito / sesiones con vista de producto · checkout = sesiones con checkout / sesiones con ATC · AOV = ventas brutas / pedidos · CAC = (anuncios + producción de contenido) / pedidos · contribución ANTES de captación = pedidos × contribución unitaria (ya descuenta las comisiones POR VENTA de «Costes variables» fila 11) · DESPUÉS de captación = ANTES − anuncios − producción de contenido. Cada coste de contenido se cuenta una sola vez. Las visualizaciones en redes no son sesiones.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</row>
    <row r="18">
      <c r="A18" s="3" t="inlineStr">
        <is>
          <t>Validación: negativos, texto en celdas numéricas o un embudo incoherente (vistas &gt; sesiones, ATC &gt; vistas, checkout &gt; ATC) marcan la fila como «DATOS NO VÁLIDOS» y no se calcula.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</row>
    <row r="19">
      <c r="A19" s="3" t="inlineStr">
        <is>
          <t>Contribución unitaria usada en el panel:</t>
        </is>
      </c>
      <c r="B19" s="3" t="n"/>
      <c r="C19" s="3" t="n"/>
      <c r="D19" s="10">
        <f>IF($D$2="","DATOS INCOMPLETOS",IF(OR(NOT(ISNUMBER($D$2)),'Costes variables'!$B$20="DATOS NO VÁLIDOS"),"DATOS NO VÁLIDOS",IF($D$2&lt;=0,"DATOS NO VÁLIDOS",IF('Costes variables'!$B$20&lt;&gt;"COMPLETO","DATOS INCOMPLETOS",($D$2-'Costes variables'!$B$15+'Costes variables'!$B$14)*(1-'Costes variables'!$B$25)-'Costes variables'!$B$26-'Costes variables'!$B$24))))</f>
        <v/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</row>
  </sheetData>
  <conditionalFormatting sqref="K4:T15">
    <cfRule type="expression" priority="1" dxfId="0">
      <formula>$T4="DATOS NO VÁLIDOS"</formula>
    </cfRule>
  </conditionalFormatting>
  <dataValidations count="4">
    <dataValidation sqref="D2" showDropDown="0" showInputMessage="0" showErrorMessage="1" allowBlank="1" errorTitle="Dato no válido" error="El precio de prueba debe ser mayor que 0." type="decimal" errorStyle="stop" operator="greaterThan">
      <formula1>0</formula1>
    </dataValidation>
    <dataValidation sqref="B4:F15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G4:I15" showDropDown="0" showInputMessage="0" showErrorMessage="1" allowBlank="1" errorTitle="Dato no válido" error="Introduce un importe en USD mayor o igual que 0." type="decimal" errorStyle="stop" operator="greaterThanOrEqual">
      <formula1>0</formula1>
    </dataValidation>
    <dataValidation sqref="J4:J15" showDropDown="0" showInputMessage="0" showErrorMessage="1" allowBlank="1" errorTitle="Dato no válido" error="Introduce un número entero mayor o igual que 0." type="whole" errorStyle="stop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8" customWidth="1" min="3" max="3"/>
    <col width="20" customWidth="1" min="4" max="4"/>
    <col width="22" customWidth="1" min="5" max="5"/>
    <col width="40" customWidth="1" min="6" max="6"/>
  </cols>
  <sheetData>
    <row r="1">
      <c r="A1" s="1" t="inlineStr">
        <is>
          <t>Sensibilidad de adquisición (planificación, no previsión)</t>
        </is>
      </c>
      <c r="B1" s="3" t="n"/>
      <c r="C1" s="3" t="n"/>
      <c r="D1" s="3" t="n"/>
      <c r="E1" s="3" t="n"/>
      <c r="F1" s="3" t="n"/>
    </row>
    <row r="2">
      <c r="A2" s="3" t="inlineStr">
        <is>
          <t>Contribución usada (Test de precio, fila elegida):</t>
        </is>
      </c>
      <c r="B2" s="3" t="n"/>
      <c r="C2" s="3" t="n"/>
      <c r="D2" s="3" t="n"/>
      <c r="E2" s="8" t="n">
        <v>2</v>
      </c>
      <c r="F2" s="3" t="inlineStr">
        <is>
          <t>← 1, 2 o 3 = fila 5, 6 o 7 de «Test de precio»</t>
        </is>
      </c>
    </row>
    <row r="3">
      <c r="A3" s="3" t="inlineStr">
        <is>
          <t>Contribución por pedido:</t>
        </is>
      </c>
      <c r="B3" s="3" t="n"/>
      <c r="C3" s="12">
        <f>INDEX('Test de precio'!G5:G7,E2)</f>
        <v/>
      </c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 ht="34" customHeight="1">
      <c r="A5" s="5" t="inlineStr">
        <is>
          <t>Sesiones cualificadas/mes</t>
        </is>
      </c>
      <c r="B5" s="5" t="inlineStr">
        <is>
          <t>Conversión hipotética</t>
        </is>
      </c>
      <c r="C5" s="5" t="inlineStr">
        <is>
          <t>Pedidos teóricos</t>
        </is>
      </c>
      <c r="D5" s="5" t="inlineStr">
        <is>
          <t>Contribución total</t>
        </is>
      </c>
      <c r="E5" s="5" t="inlineStr">
        <is>
          <t>Capital a adelantar</t>
        </is>
      </c>
      <c r="F5" s="3" t="n"/>
    </row>
    <row r="6">
      <c r="A6" s="16" t="n"/>
      <c r="B6" s="6" t="n"/>
      <c r="C6" s="17">
        <f>IF(OR(A6="",B6=""),"",A6*B6)</f>
        <v/>
      </c>
      <c r="D6" s="9">
        <f>IF(C6="","",IF(ISNUMBER($C$3),C6*$C$3,"DATOS INCOMPLETOS"))</f>
        <v/>
      </c>
      <c r="E6" s="9">
        <f>IF(C6="","",IF(ISNUMBER('Costes variables'!$B$27),C6*'Costes variables'!$B$27,"DATOS INCOMPLETOS"))</f>
        <v/>
      </c>
      <c r="F6" s="3" t="n"/>
    </row>
    <row r="7">
      <c r="A7" s="16" t="n"/>
      <c r="B7" s="6" t="n"/>
      <c r="C7" s="17">
        <f>IF(OR(A7="",B7=""),"",A7*B7)</f>
        <v/>
      </c>
      <c r="D7" s="9">
        <f>IF(C7="","",IF(ISNUMBER($C$3),C7*$C$3,"DATOS INCOMPLETOS"))</f>
        <v/>
      </c>
      <c r="E7" s="9">
        <f>IF(C7="","",IF(ISNUMBER('Costes variables'!$B$27),C7*'Costes variables'!$B$27,"DATOS INCOMPLETOS"))</f>
        <v/>
      </c>
      <c r="F7" s="3" t="n"/>
    </row>
    <row r="8">
      <c r="A8" s="16" t="n"/>
      <c r="B8" s="6" t="n"/>
      <c r="C8" s="17">
        <f>IF(OR(A8="",B8=""),"",A8*B8)</f>
        <v/>
      </c>
      <c r="D8" s="9">
        <f>IF(C8="","",IF(ISNUMBER($C$3),C8*$C$3,"DATOS INCOMPLETOS"))</f>
        <v/>
      </c>
      <c r="E8" s="9">
        <f>IF(C8="","",IF(ISNUMBER('Costes variables'!$B$27),C8*'Costes variables'!$B$27,"DATOS INCOMPLETOS"))</f>
        <v/>
      </c>
      <c r="F8" s="3" t="n"/>
    </row>
    <row r="9">
      <c r="A9" s="16" t="n"/>
      <c r="B9" s="6" t="n"/>
      <c r="C9" s="17">
        <f>IF(OR(A9="",B9=""),"",A9*B9)</f>
        <v/>
      </c>
      <c r="D9" s="9">
        <f>IF(C9="","",IF(ISNUMBER($C$3),C9*$C$3,"DATOS INCOMPLETOS"))</f>
        <v/>
      </c>
      <c r="E9" s="9">
        <f>IF(C9="","",IF(ISNUMBER('Costes variables'!$B$27),C9*'Costes variables'!$B$27,"DATOS INCOMPLETOS"))</f>
        <v/>
      </c>
      <c r="F9" s="3" t="n"/>
    </row>
  </sheetData>
  <dataValidations count="9">
    <dataValidation sqref="E2" showDropDown="0" showInputMessage="0" showErrorMessage="1" allowBlank="1" errorTitle="Dato no válido" error="Elige 1, 2 o 3." type="whole" errorStyle="stop" operator="between">
      <formula1>1</formula1>
      <formula2>3</formula2>
    </dataValidation>
    <dataValidation sqref="A6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6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A7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7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A8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8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  <dataValidation sqref="A9" showDropDown="0" showInputMessage="0" showErrorMessage="1" allowBlank="1" errorTitle="Dato no válido" error="Introduce un número entero mayor o igual que 0." type="whole" errorStyle="stop" operator="greaterThanOrEqual">
      <formula1>0</formula1>
    </dataValidation>
    <dataValidation sqref="B9" showDropDown="0" showInputMessage="0" showErrorMessage="1" allowBlank="1" errorTitle="Dato no válido" error="Introduce un porcentaje entre 0 % y 100 %." type="decimal" errorStyle="stop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2026-10-14T00:42:54Z</dcterms:created>
  <dcterms:modified xmlns:dcterms="http://purl.org/dc/terms/" xmlns:xsi="http://www.w3.org/2001/XMLSchema-instance" xsi:type="dcterms:W3CDTF">2026-10-14T00:42:54Z</dcterms:modified>
</cp:coreProperties>
</file>