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Supuestos" sheetId="2" state="visible" r:id="rId4"/>
    <sheet name="Costes variables" sheetId="3" state="visible" r:id="rId5"/>
    <sheet name="Test de precio" sheetId="4" state="visible" r:id="rId6"/>
    <sheet name="Capital circulante" sheetId="5" state="visible" r:id="rId7"/>
    <sheet name="Panel semanal" sheetId="6" state="visible" r:id="rId8"/>
    <sheet name="Sensibil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<sst xmlns="http://schemas.openxmlformats.org/spreadsheetml/2006/main" count="139" uniqueCount="124">
  <si>
    <t xml:space="preserve">Economía unitaria · VINCIRENA (marca provisional) · Mercado EE. UU. · USD · V2.1 (13/10/2026)</t>
  </si>
  <si>
    <t xml:space="preserve">Ninguna celda contiene costes, precios ni umbrales reales: se rellenan con cotizaciones, facturas y decisiones del titular. Mientras falte un dato obligatorio, la hoja muestra «DATOS INCOMPLETOS».</t>
  </si>
  <si>
    <t xml:space="preserve">Cómo usarlo</t>
  </si>
  <si>
    <t xml:space="preserve">1. Celdas AMARILLAS con texto AZUL = datos editables. NEGRO = fórmulas. VERDE = enlaces entre hojas.</t>
  </si>
  <si>
    <t xml:space="preserve">2. Rellena «Costes variables» (columna B) con datos reales por unidad/pedido en USD. Una celda VACÍA = «no lo sé» y bloquea el cálculo; un 0 escrito es un dato válido.</t>
  </si>
  <si>
    <t xml:space="preserve">3. «Test de precio»: los precios son PUNTOS DE PRUEBA editables (no precios decididos). Cada fila descuenta TODAS las partidas variables y la comisión real si existe.</t>
  </si>
  <si>
    <t xml:space="preserve">4. Impuestos: en EE. UU. el precio se muestra sin sales tax; el impuesto se calcula en el checkout y se ingresa al estado. No se resta del precio (a diferencia del IVA español de la V2).</t>
  </si>
  <si>
    <t xml:space="preserve">5. No se modela LTV ni suscripción: el producto es reutilizable. La decisión se basa en el margen del primer pedido.</t>
  </si>
  <si>
    <t xml:space="preserve">Supuestos que hay que verificar</t>
  </si>
  <si>
    <t xml:space="preserve">Comisión de pago: 2,9 % + 0,30 $ es un supuesto de partida (tarifa online publicada para planes básicos de Shopify Payments en EE. UU.); confirmar con el plan contratado.</t>
  </si>
  <si>
    <t xml:space="preserve">Aranceles: el tratamiento de los envíos de bajo valor importados en EE. UU. (de minimis) ha cambiado recientemente; confirmar con el transitario o agente de aduanas antes de rellenar la partida.</t>
  </si>
  <si>
    <t xml:space="preserve">Capital: el titular declaró 1–50 € para España; introducir el importe disponible en USD.</t>
  </si>
  <si>
    <t xml:space="preserve">Versión anterior (España, EUR, con IVA): docs/archive/05_ECONOMIA_UNITARIA_ES_V2.xlsx.</t>
  </si>
  <si>
    <t xml:space="preserve">Supuestos globales (USD)</t>
  </si>
  <si>
    <t xml:space="preserve">Supuesto</t>
  </si>
  <si>
    <t xml:space="preserve">Valor</t>
  </si>
  <si>
    <t xml:space="preserve">Fuente / nota</t>
  </si>
  <si>
    <t xml:space="preserve">Comisión de pago variable (supuesto)</t>
  </si>
  <si>
    <t xml:space="preserve">Verificar con el plan de Shopify Payments contratado.</t>
  </si>
  <si>
    <t xml:space="preserve">Comisión de pago fija por pedido (supuesto)</t>
  </si>
  <si>
    <t xml:space="preserve">Verificar con el plan contratado.</t>
  </si>
  <si>
    <t xml:space="preserve">Umbral mínimo de contribución por pedido</t>
  </si>
  <si>
    <t xml:space="preserve">Decisión del titular. Vacío = sin veredicto.</t>
  </si>
  <si>
    <t xml:space="preserve">Capital disponible para pedidos y reembolsos (USD)</t>
  </si>
  <si>
    <t xml:space="preserve">Dato del titular.</t>
  </si>
  <si>
    <t xml:space="preserve">CAC de referencia por cliente (USD)</t>
  </si>
  <si>
    <t xml:space="preserve">Dato o hipótesis del titular. Vacío = no se calcula.</t>
  </si>
  <si>
    <t xml:space="preserve">Días naturales hasta cobrar la liquidación</t>
  </si>
  <si>
    <t xml:space="preserve">Verificar con Shopify Payments (calendario de pagos).</t>
  </si>
  <si>
    <t xml:space="preserve">Costes variables REALES por pedido de 1 unidad (USD)</t>
  </si>
  <si>
    <t xml:space="preserve">Solo datos confirmados (cotizaciones, facturas, tarifas). Vacío = bloquea el cálculo.</t>
  </si>
  <si>
    <t xml:space="preserve">Partida</t>
  </si>
  <si>
    <t xml:space="preserve">Obligatoria</t>
  </si>
  <si>
    <t xml:space="preserve">Producto: coste unitario del proveedor</t>
  </si>
  <si>
    <t xml:space="preserve">Sí</t>
  </si>
  <si>
    <t xml:space="preserve">Cotización firmada del modelo exacto.</t>
  </si>
  <si>
    <t xml:space="preserve">Flete internacional / inbound por unidad</t>
  </si>
  <si>
    <t xml:space="preserve">Prorrateado por unidad.</t>
  </si>
  <si>
    <t xml:space="preserve">Aranceles, tasas y agente de aduanas por unidad</t>
  </si>
  <si>
    <t xml:space="preserve">Confirmar régimen vigente con el agente de aduanas.</t>
  </si>
  <si>
    <t xml:space="preserve">Envío al cliente (última milla)</t>
  </si>
  <si>
    <t xml:space="preserve">Tarifa real del transportista.</t>
  </si>
  <si>
    <t xml:space="preserve">Embalaje y preparación (fulfillment)</t>
  </si>
  <si>
    <t xml:space="preserve">Reserva por incidencias / contracargos por pedido</t>
  </si>
  <si>
    <t xml:space="preserve">Pérdidas, daños, fraude.</t>
  </si>
  <si>
    <t xml:space="preserve">Atención al cliente por pedido</t>
  </si>
  <si>
    <t xml:space="preserve">Tiempo o herramientas imputables.</t>
  </si>
  <si>
    <t xml:space="preserve">Contenido / colaboradores / afiliados por venta</t>
  </si>
  <si>
    <t xml:space="preserve">Coste de producción o comisiones por venta. 0 si no hay.</t>
  </si>
  <si>
    <t xml:space="preserve">Tasa de devolución esperada</t>
  </si>
  <si>
    <t xml:space="preserve">Dato real o prudente; 0 % solo si se documenta.</t>
  </si>
  <si>
    <t xml:space="preserve">Coste por devolución (envío de vuelta + producto no recuperable)</t>
  </si>
  <si>
    <t xml:space="preserve">Por cada devolución.</t>
  </si>
  <si>
    <t xml:space="preserve">Ingreso por envío cobrado al cliente</t>
  </si>
  <si>
    <t xml:space="preserve">0 si el envío es gratuito para el cliente.</t>
  </si>
  <si>
    <t xml:space="preserve">Descuento medio por pedido</t>
  </si>
  <si>
    <t xml:space="preserve">0 si no hay descuentos.</t>
  </si>
  <si>
    <t xml:space="preserve">Comisión de pago variable REAL (opcional)</t>
  </si>
  <si>
    <t xml:space="preserve">No</t>
  </si>
  <si>
    <t xml:space="preserve">Vacío = usar Supuestos!B4.</t>
  </si>
  <si>
    <t xml:space="preserve">Comisión de pago fija REAL (opcional)</t>
  </si>
  <si>
    <t xml:space="preserve">Vacío = usar Supuestos!B5.</t>
  </si>
  <si>
    <t xml:space="preserve">Partidas obligatorias rellenadas (de 12)</t>
  </si>
  <si>
    <t xml:space="preserve">Estado</t>
  </si>
  <si>
    <t xml:space="preserve">Coste de producto puesto en cliente (filas 4–8)</t>
  </si>
  <si>
    <t xml:space="preserve">Coste esperado de devoluciones por pedido (fila 12 × fila 13)</t>
  </si>
  <si>
    <t xml:space="preserve">Otros costes variables por pedido (filas 9–11)</t>
  </si>
  <si>
    <t xml:space="preserve">Coste variable total por pedido (antes de comisión)</t>
  </si>
  <si>
    <t xml:space="preserve">Comisión variable usada</t>
  </si>
  <si>
    <t xml:space="preserve">Comisión fija usada</t>
  </si>
  <si>
    <t xml:space="preserve">Desembolso antes de cobrar (filas 4–8)</t>
  </si>
  <si>
    <t xml:space="preserve">Test de precio · puntos de prueba en USD (no son precios decididos)</t>
  </si>
  <si>
    <t xml:space="preserve">Cada fila descuenta TODAS las partidas de «Costes variables» y la comisión real si existe.</t>
  </si>
  <si>
    <t xml:space="preserve">Precio de prueba (sin sales tax)</t>
  </si>
  <si>
    <t xml:space="preserve">Ingreso del pedido (precio − descuento + envío cobrado)</t>
  </si>
  <si>
    <t xml:space="preserve">Comisión de pago</t>
  </si>
  <si>
    <t xml:space="preserve">Coste producto puesto en cliente</t>
  </si>
  <si>
    <t xml:space="preserve">Devoluciones esperadas</t>
  </si>
  <si>
    <t xml:space="preserve">Incidencias + atención + contenido</t>
  </si>
  <si>
    <t xml:space="preserve">Contribución por pedido</t>
  </si>
  <si>
    <t xml:space="preserve">Veredicto frente al umbral</t>
  </si>
  <si>
    <t xml:space="preserve">Contribución tras CAC</t>
  </si>
  <si>
    <t xml:space="preserve">Comprobación: contribución = ingreso − comisión − coste producto − devoluciones − (incidencias + atención + contenido). Ninguna partida se omite.</t>
  </si>
  <si>
    <t xml:space="preserve">Capital necesario antes de cobrar las liquidaciones (USD)</t>
  </si>
  <si>
    <t xml:space="preserve">Concepto</t>
  </si>
  <si>
    <t xml:space="preserve">Nota</t>
  </si>
  <si>
    <t xml:space="preserve">Pedidos por día a cubrir</t>
  </si>
  <si>
    <t xml:space="preserve">Escenario de ventas del titular</t>
  </si>
  <si>
    <t xml:space="preserve">Días hasta cobrar</t>
  </si>
  <si>
    <t xml:space="preserve">Desembolso por pedido antes de cobrar</t>
  </si>
  <si>
    <t xml:space="preserve">Colchón para reembolsos (pedidos equivalentes)</t>
  </si>
  <si>
    <t xml:space="preserve">Decisión del titular</t>
  </si>
  <si>
    <t xml:space="preserve">Capital necesario</t>
  </si>
  <si>
    <t xml:space="preserve">Capital disponible</t>
  </si>
  <si>
    <t xml:space="preserve">¿Suficiente?</t>
  </si>
  <si>
    <t xml:space="preserve">Panel semanal (datos de Shopify Analytics, en USD)</t>
  </si>
  <si>
    <t xml:space="preserve">Precio de venta actual (USD, sin sales tax):</t>
  </si>
  <si>
    <t xml:space="preserve">Semana</t>
  </si>
  <si>
    <t xml:space="preserve">Sesiones</t>
  </si>
  <si>
    <t xml:space="preserve">Sesiones con vista de producto</t>
  </si>
  <si>
    <t xml:space="preserve">Sesiones con ATC</t>
  </si>
  <si>
    <t xml:space="preserve">Sesiones con checkout</t>
  </si>
  <si>
    <t xml:space="preserve">Pedidos</t>
  </si>
  <si>
    <t xml:space="preserve">Ventas brutas (USD)</t>
  </si>
  <si>
    <t xml:space="preserve">Gasto de captación (USD)</t>
  </si>
  <si>
    <t xml:space="preserve">Coste de contenido (USD)</t>
  </si>
  <si>
    <t xml:space="preserve">Devoluciones (nº)</t>
  </si>
  <si>
    <t xml:space="preserve">Conversión tienda</t>
  </si>
  <si>
    <t xml:space="preserve">ATC / vistas producto</t>
  </si>
  <si>
    <t xml:space="preserve">Checkout / ATC</t>
  </si>
  <si>
    <t xml:space="preserve">AOV</t>
  </si>
  <si>
    <t xml:space="preserve">CAC</t>
  </si>
  <si>
    <t xml:space="preserve">Contribución estimada</t>
  </si>
  <si>
    <t xml:space="preserve">Tasa devolución</t>
  </si>
  <si>
    <t xml:space="preserve">Definiciones: conversión = pedidos/sesiones · ATC = sesiones con añadir al carrito / sesiones con vista de producto · checkout = sesiones con checkout / sesiones con ATC · AOV = ventas brutas / pedidos · CAC = (captación + contenido) / pedidos. Las visualizaciones en redes no son sesiones.</t>
  </si>
  <si>
    <t xml:space="preserve">Sensibilidad de adquisición (planificación, no previsión)</t>
  </si>
  <si>
    <t xml:space="preserve">Contribución usada (Test de precio, fila elegida):</t>
  </si>
  <si>
    <t xml:space="preserve">← 1, 2 o 3 = fila 5, 6 o 7 de «Test de precio»</t>
  </si>
  <si>
    <t xml:space="preserve">Contribución por pedido:</t>
  </si>
  <si>
    <t xml:space="preserve">Sesiones cualificadas/mes</t>
  </si>
  <si>
    <t xml:space="preserve">Conversión hipotética</t>
  </si>
  <si>
    <t xml:space="preserve">Pedidos teóricos</t>
  </si>
  <si>
    <t xml:space="preserve">Contribución total</t>
  </si>
  <si>
    <t xml:space="preserve">Capital a adelantar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</si>
</sst>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\$#,##0.00;&quot;($&quot;#,##0.00\);\-"/>
    <numFmt numFmtId="167" formatCode="0"/>
    <numFmt numFmtId="168" formatCode="0.0"/>
    <numFmt numFmtId="169" formatCode="@"/>
    <numFmt numFmtId="170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72B37"/>
        <bgColor rgb="FF00336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B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13</v>
      </c>
      <c r="B1" s="3"/>
      <c r="C1" s="3"/>
    </row>
    <row r="2" customFormat="false" ht="15" hidden="false" customHeight="false" outlineLevel="0" collapsed="false">
      <c r="A2" s="3"/>
      <c r="B2" s="3"/>
      <c r="C2" s="3"/>
    </row>
    <row r="3" customFormat="false" ht="33.75" hidden="false" customHeight="true" outlineLevel="0" collapsed="false">
      <c r="A3" s="5" t="s">
        <v>14</v>
      </c>
      <c r="B3" s="5" t="s">
        <v>15</v>
      </c>
      <c r="C3" s="5" t="s">
        <v>16</v>
      </c>
    </row>
    <row r="4" customFormat="false" ht="15" hidden="false" customHeight="false" outlineLevel="0" collapsed="false">
      <c r="A4" s="4" t="s">
        <v>17</v>
      </c>
      <c r="B4" s="6" t="n">
        <v>0.029</v>
      </c>
      <c r="C4" s="4" t="s">
        <v>18</v>
      </c>
    </row>
    <row r="5" customFormat="false" ht="15" hidden="false" customHeight="false" outlineLevel="0" collapsed="false">
      <c r="A5" s="4" t="s">
        <v>19</v>
      </c>
      <c r="B5" s="7" t="n">
        <v>0.3</v>
      </c>
      <c r="C5" s="4" t="s">
        <v>20</v>
      </c>
    </row>
    <row r="6" customFormat="false" ht="15" hidden="false" customHeight="false" outlineLevel="0" collapsed="false">
      <c r="A6" s="4" t="s">
        <v>21</v>
      </c>
      <c r="B6" s="7"/>
      <c r="C6" s="4" t="s">
        <v>22</v>
      </c>
    </row>
    <row r="7" customFormat="false" ht="15" hidden="false" customHeight="false" outlineLevel="0" collapsed="false">
      <c r="A7" s="4" t="s">
        <v>23</v>
      </c>
      <c r="B7" s="7"/>
      <c r="C7" s="4" t="s">
        <v>24</v>
      </c>
    </row>
    <row r="8" customFormat="false" ht="15" hidden="false" customHeight="false" outlineLevel="0" collapsed="false">
      <c r="A8" s="4" t="s">
        <v>25</v>
      </c>
      <c r="B8" s="7"/>
      <c r="C8" s="4" t="s">
        <v>26</v>
      </c>
    </row>
    <row r="9" customFormat="false" ht="15" hidden="false" customHeight="false" outlineLevel="0" collapsed="false">
      <c r="A9" s="4" t="s">
        <v>27</v>
      </c>
      <c r="B9" s="8"/>
      <c r="C9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54"/>
  </cols>
  <sheetData>
    <row r="1" customFormat="false" ht="17.35" hidden="false" customHeight="false" outlineLevel="0" collapsed="false">
      <c r="A1" s="1" t="s">
        <v>29</v>
      </c>
      <c r="B1" s="3"/>
      <c r="C1" s="3"/>
      <c r="D1" s="3"/>
    </row>
    <row r="2" customFormat="false" ht="15" hidden="false" customHeight="false" outlineLevel="0" collapsed="false">
      <c r="A2" s="2" t="s">
        <v>30</v>
      </c>
      <c r="B2" s="3"/>
      <c r="C2" s="3"/>
      <c r="D2" s="3"/>
    </row>
    <row r="3" customFormat="false" ht="33.75" hidden="false" customHeight="true" outlineLevel="0" collapsed="false">
      <c r="A3" s="5" t="s">
        <v>31</v>
      </c>
      <c r="B3" s="5" t="s">
        <v>15</v>
      </c>
      <c r="C3" s="5" t="s">
        <v>32</v>
      </c>
      <c r="D3" s="5" t="s">
        <v>16</v>
      </c>
    </row>
    <row r="4" customFormat="false" ht="15" hidden="false" customHeight="false" outlineLevel="0" collapsed="false">
      <c r="A4" s="4" t="s">
        <v>33</v>
      </c>
      <c r="B4" s="7"/>
      <c r="C4" s="4" t="s">
        <v>34</v>
      </c>
      <c r="D4" s="4" t="s">
        <v>35</v>
      </c>
    </row>
    <row r="5" customFormat="false" ht="15" hidden="false" customHeight="false" outlineLevel="0" collapsed="false">
      <c r="A5" s="4" t="s">
        <v>36</v>
      </c>
      <c r="B5" s="7"/>
      <c r="C5" s="4" t="s">
        <v>34</v>
      </c>
      <c r="D5" s="4" t="s">
        <v>37</v>
      </c>
    </row>
    <row r="6" customFormat="false" ht="15" hidden="false" customHeight="false" outlineLevel="0" collapsed="false">
      <c r="A6" s="4" t="s">
        <v>38</v>
      </c>
      <c r="B6" s="7"/>
      <c r="C6" s="4" t="s">
        <v>34</v>
      </c>
      <c r="D6" s="4" t="s">
        <v>39</v>
      </c>
    </row>
    <row r="7" customFormat="false" ht="15" hidden="false" customHeight="false" outlineLevel="0" collapsed="false">
      <c r="A7" s="4" t="s">
        <v>40</v>
      </c>
      <c r="B7" s="7"/>
      <c r="C7" s="4" t="s">
        <v>34</v>
      </c>
      <c r="D7" s="4" t="s">
        <v>41</v>
      </c>
    </row>
    <row r="8" customFormat="false" ht="15" hidden="false" customHeight="false" outlineLevel="0" collapsed="false">
      <c r="A8" s="4" t="s">
        <v>42</v>
      </c>
      <c r="B8" s="7"/>
      <c r="C8" s="4" t="s">
        <v>34</v>
      </c>
      <c r="D8" s="4"/>
    </row>
    <row r="9" customFormat="false" ht="15" hidden="false" customHeight="false" outlineLevel="0" collapsed="false">
      <c r="A9" s="4" t="s">
        <v>43</v>
      </c>
      <c r="B9" s="7"/>
      <c r="C9" s="4" t="s">
        <v>34</v>
      </c>
      <c r="D9" s="4" t="s">
        <v>44</v>
      </c>
    </row>
    <row r="10" customFormat="false" ht="15" hidden="false" customHeight="false" outlineLevel="0" collapsed="false">
      <c r="A10" s="4" t="s">
        <v>45</v>
      </c>
      <c r="B10" s="7"/>
      <c r="C10" s="4" t="s">
        <v>34</v>
      </c>
      <c r="D10" s="4" t="s">
        <v>46</v>
      </c>
    </row>
    <row r="11" customFormat="false" ht="15" hidden="false" customHeight="false" outlineLevel="0" collapsed="false">
      <c r="A11" s="4" t="s">
        <v>47</v>
      </c>
      <c r="B11" s="7"/>
      <c r="C11" s="4" t="s">
        <v>34</v>
      </c>
      <c r="D11" s="4" t="s">
        <v>48</v>
      </c>
    </row>
    <row r="12" customFormat="false" ht="15" hidden="false" customHeight="false" outlineLevel="0" collapsed="false">
      <c r="A12" s="4" t="s">
        <v>49</v>
      </c>
      <c r="B12" s="6"/>
      <c r="C12" s="4" t="s">
        <v>34</v>
      </c>
      <c r="D12" s="4" t="s">
        <v>50</v>
      </c>
    </row>
    <row r="13" customFormat="false" ht="15" hidden="false" customHeight="false" outlineLevel="0" collapsed="false">
      <c r="A13" s="4" t="s">
        <v>51</v>
      </c>
      <c r="B13" s="7"/>
      <c r="C13" s="4" t="s">
        <v>34</v>
      </c>
      <c r="D13" s="4" t="s">
        <v>52</v>
      </c>
    </row>
    <row r="14" customFormat="false" ht="15" hidden="false" customHeight="false" outlineLevel="0" collapsed="false">
      <c r="A14" s="4" t="s">
        <v>53</v>
      </c>
      <c r="B14" s="7"/>
      <c r="C14" s="4" t="s">
        <v>34</v>
      </c>
      <c r="D14" s="4" t="s">
        <v>54</v>
      </c>
    </row>
    <row r="15" customFormat="false" ht="15" hidden="false" customHeight="false" outlineLevel="0" collapsed="false">
      <c r="A15" s="4" t="s">
        <v>55</v>
      </c>
      <c r="B15" s="7"/>
      <c r="C15" s="4" t="s">
        <v>34</v>
      </c>
      <c r="D15" s="4" t="s">
        <v>56</v>
      </c>
    </row>
    <row r="16" customFormat="false" ht="15" hidden="false" customHeight="false" outlineLevel="0" collapsed="false">
      <c r="A16" s="4" t="s">
        <v>57</v>
      </c>
      <c r="B16" s="6"/>
      <c r="C16" s="4" t="s">
        <v>58</v>
      </c>
      <c r="D16" s="4" t="s">
        <v>59</v>
      </c>
    </row>
    <row r="17" customFormat="false" ht="15" hidden="false" customHeight="false" outlineLevel="0" collapsed="false">
      <c r="A17" s="4" t="s">
        <v>60</v>
      </c>
      <c r="B17" s="7"/>
      <c r="C17" s="4" t="s">
        <v>58</v>
      </c>
      <c r="D17" s="4" t="s">
        <v>61</v>
      </c>
    </row>
    <row r="18" customFormat="false" ht="15" hidden="false" customHeight="false" outlineLevel="0" collapsed="false">
      <c r="A18" s="3"/>
      <c r="B18" s="3"/>
      <c r="C18" s="3"/>
      <c r="D18" s="3"/>
    </row>
    <row r="19" customFormat="false" ht="15" hidden="false" customHeight="false" outlineLevel="0" collapsed="false">
      <c r="A19" s="3" t="s">
        <v>62</v>
      </c>
      <c r="B19" s="3" t="n">
        <f aca="false">COUNT(B4:B15)</f>
        <v>0</v>
      </c>
      <c r="C19" s="3"/>
      <c r="D19" s="3"/>
    </row>
    <row r="20" customFormat="false" ht="15" hidden="false" customHeight="false" outlineLevel="0" collapsed="false">
      <c r="A20" s="2" t="s">
        <v>63</v>
      </c>
      <c r="B20" s="2" t="str">
        <f aca="false">IF(B19=12,"COMPLETO","DATOS INCOMPLETOS")</f>
        <v>DATOS INCOMPLETOS</v>
      </c>
      <c r="C20" s="3"/>
      <c r="D20" s="3"/>
    </row>
    <row r="21" customFormat="false" ht="15" hidden="false" customHeight="false" outlineLevel="0" collapsed="false">
      <c r="A21" s="3" t="s">
        <v>64</v>
      </c>
      <c r="B21" s="9" t="str">
        <f aca="false">IF($B$20="COMPLETO",SUM(B4:B8),"DATOS INCOMPLETOS")</f>
        <v>DATOS INCOMPLETOS</v>
      </c>
      <c r="C21" s="3"/>
      <c r="D21" s="3"/>
    </row>
    <row r="22" customFormat="false" ht="15" hidden="false" customHeight="false" outlineLevel="0" collapsed="false">
      <c r="A22" s="3" t="s">
        <v>65</v>
      </c>
      <c r="B22" s="9" t="str">
        <f aca="false">IF($B$20="COMPLETO",B12*B13,"DATOS INCOMPLETOS")</f>
        <v>DATOS INCOMPLETOS</v>
      </c>
      <c r="C22" s="3"/>
      <c r="D22" s="3"/>
    </row>
    <row r="23" customFormat="false" ht="15" hidden="false" customHeight="false" outlineLevel="0" collapsed="false">
      <c r="A23" s="3" t="s">
        <v>66</v>
      </c>
      <c r="B23" s="9" t="str">
        <f aca="false">IF($B$20="COMPLETO",SUM(B9:B11),"DATOS INCOMPLETOS")</f>
        <v>DATOS INCOMPLETOS</v>
      </c>
      <c r="C23" s="3"/>
      <c r="D23" s="3"/>
    </row>
    <row r="24" customFormat="false" ht="15" hidden="false" customHeight="false" outlineLevel="0" collapsed="false">
      <c r="A24" s="2" t="s">
        <v>67</v>
      </c>
      <c r="B24" s="10" t="str">
        <f aca="false">IF($B$20="COMPLETO",B21+B22+B23,"DATOS INCOMPLETOS")</f>
        <v>DATOS INCOMPLETOS</v>
      </c>
      <c r="C24" s="3"/>
      <c r="D24" s="3"/>
    </row>
    <row r="25" customFormat="false" ht="15" hidden="false" customHeight="false" outlineLevel="0" collapsed="false">
      <c r="A25" s="3" t="s">
        <v>68</v>
      </c>
      <c r="B25" s="11" t="n">
        <f aca="false">IF(B16="",Supuestos!B4,B16)</f>
        <v>0.029</v>
      </c>
      <c r="C25" s="3"/>
      <c r="D25" s="3"/>
    </row>
    <row r="26" customFormat="false" ht="15" hidden="false" customHeight="false" outlineLevel="0" collapsed="false">
      <c r="A26" s="3" t="s">
        <v>69</v>
      </c>
      <c r="B26" s="9" t="n">
        <f aca="false">IF(B17="",Supuestos!B5,B17)</f>
        <v>0.3</v>
      </c>
      <c r="C26" s="3"/>
      <c r="D26" s="3"/>
    </row>
    <row r="27" customFormat="false" ht="15" hidden="false" customHeight="false" outlineLevel="0" collapsed="false">
      <c r="A27" s="3" t="s">
        <v>70</v>
      </c>
      <c r="B27" s="9" t="str">
        <f aca="false">IF($B$20="COMPLETO",SUM(B4:B8),"DATOS INCOMPLETOS")</f>
        <v>DATOS INCOMPLETOS</v>
      </c>
      <c r="C27" s="3"/>
      <c r="D27" s="3"/>
    </row>
  </sheetData>
  <conditionalFormatting sqref="B20:B27">
    <cfRule type="expression" priority="2" aboveAverage="0" equalAverage="0" bottom="0" percent="0" rank="0" text="" dxfId="0">
      <formula>B20="DATOS INCOMPLETOS"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2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" t="s">
        <v>71</v>
      </c>
      <c r="B1" s="3"/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2" t="s">
        <v>72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33.75" hidden="false" customHeight="true" outlineLevel="0" collapsed="false">
      <c r="A4" s="5" t="s">
        <v>73</v>
      </c>
      <c r="B4" s="5" t="s">
        <v>74</v>
      </c>
      <c r="C4" s="5" t="s">
        <v>75</v>
      </c>
      <c r="D4" s="5" t="s">
        <v>76</v>
      </c>
      <c r="E4" s="5" t="s">
        <v>77</v>
      </c>
      <c r="F4" s="5" t="s">
        <v>78</v>
      </c>
      <c r="G4" s="5" t="s">
        <v>79</v>
      </c>
      <c r="H4" s="5" t="s">
        <v>80</v>
      </c>
      <c r="I4" s="5" t="s">
        <v>81</v>
      </c>
    </row>
    <row r="5" customFormat="false" ht="15" hidden="false" customHeight="false" outlineLevel="0" collapsed="false">
      <c r="A5" s="7" t="n">
        <v>24.99</v>
      </c>
      <c r="B5" s="9" t="n">
        <f aca="false">IF(A5="","—",A5-'Costes variables'!$B$15+'Costes variables'!$B$14)</f>
        <v>24.99</v>
      </c>
      <c r="C5" s="9" t="n">
        <f aca="false">IF(A5="","—",B5*'Costes variables'!$B$25+'Costes variables'!$B$26)</f>
        <v>1.02471</v>
      </c>
      <c r="D5" s="12" t="str">
        <f aca="false">'Costes variables'!$B$21</f>
        <v>DATOS INCOMPLETOS</v>
      </c>
      <c r="E5" s="12" t="str">
        <f aca="false">'Costes variables'!$B$22</f>
        <v>DATOS INCOMPLETOS</v>
      </c>
      <c r="F5" s="12" t="str">
        <f aca="false">'Costes variables'!$B$23</f>
        <v>DATOS INCOMPLETOS</v>
      </c>
      <c r="G5" s="10" t="str">
        <f aca="false">IF(OR(A5="",NOT('Costes variables'!$B$20="COMPLETO")),"DATOS INCOMPLETOS",B5-C5-D5-E5-F5)</f>
        <v>DATOS INCOMPLETOS</v>
      </c>
      <c r="H5" s="2" t="str">
        <f aca="false">IF(G5="DATOS INCOMPLETOS","DATOS INCOMPLETOS",IF(Supuestos!$B$6="","Umbral sin definir",IF(G5&gt;=Supuestos!$B$6,"Supera umbral","No supera")))</f>
        <v>DATOS INCOMPLETOS</v>
      </c>
      <c r="I5" s="9" t="str">
        <f aca="false">IF(G5="DATOS INCOMPLETOS","DATOS INCOMPLETOS",IF(Supuestos!$B$8="","CAC sin definir",G5-Supuestos!$B$8))</f>
        <v>DATOS INCOMPLETOS</v>
      </c>
    </row>
    <row r="6" customFormat="false" ht="15" hidden="false" customHeight="false" outlineLevel="0" collapsed="false">
      <c r="A6" s="7" t="n">
        <v>29.99</v>
      </c>
      <c r="B6" s="9" t="n">
        <f aca="false">IF(A6="","—",A6-'Costes variables'!$B$15+'Costes variables'!$B$14)</f>
        <v>29.99</v>
      </c>
      <c r="C6" s="9" t="n">
        <f aca="false">IF(A6="","—",B6*'Costes variables'!$B$25+'Costes variables'!$B$26)</f>
        <v>1.16971</v>
      </c>
      <c r="D6" s="12" t="str">
        <f aca="false">'Costes variables'!$B$21</f>
        <v>DATOS INCOMPLETOS</v>
      </c>
      <c r="E6" s="12" t="str">
        <f aca="false">'Costes variables'!$B$22</f>
        <v>DATOS INCOMPLETOS</v>
      </c>
      <c r="F6" s="12" t="str">
        <f aca="false">'Costes variables'!$B$23</f>
        <v>DATOS INCOMPLETOS</v>
      </c>
      <c r="G6" s="10" t="str">
        <f aca="false">IF(OR(A6="",NOT('Costes variables'!$B$20="COMPLETO")),"DATOS INCOMPLETOS",B6-C6-D6-E6-F6)</f>
        <v>DATOS INCOMPLETOS</v>
      </c>
      <c r="H6" s="2" t="str">
        <f aca="false">IF(G6="DATOS INCOMPLETOS","DATOS INCOMPLETOS",IF(Supuestos!$B$6="","Umbral sin definir",IF(G6&gt;=Supuestos!$B$6,"Supera umbral","No supera")))</f>
        <v>DATOS INCOMPLETOS</v>
      </c>
      <c r="I6" s="9" t="str">
        <f aca="false">IF(G6="DATOS INCOMPLETOS","DATOS INCOMPLETOS",IF(Supuestos!$B$8="","CAC sin definir",G6-Supuestos!$B$8))</f>
        <v>DATOS INCOMPLETOS</v>
      </c>
    </row>
    <row r="7" customFormat="false" ht="15" hidden="false" customHeight="false" outlineLevel="0" collapsed="false">
      <c r="A7" s="7" t="n">
        <v>34.99</v>
      </c>
      <c r="B7" s="9" t="n">
        <f aca="false">IF(A7="","—",A7-'Costes variables'!$B$15+'Costes variables'!$B$14)</f>
        <v>34.99</v>
      </c>
      <c r="C7" s="9" t="n">
        <f aca="false">IF(A7="","—",B7*'Costes variables'!$B$25+'Costes variables'!$B$26)</f>
        <v>1.31471</v>
      </c>
      <c r="D7" s="12" t="str">
        <f aca="false">'Costes variables'!$B$21</f>
        <v>DATOS INCOMPLETOS</v>
      </c>
      <c r="E7" s="12" t="str">
        <f aca="false">'Costes variables'!$B$22</f>
        <v>DATOS INCOMPLETOS</v>
      </c>
      <c r="F7" s="12" t="str">
        <f aca="false">'Costes variables'!$B$23</f>
        <v>DATOS INCOMPLETOS</v>
      </c>
      <c r="G7" s="10" t="str">
        <f aca="false">IF(OR(A7="",NOT('Costes variables'!$B$20="COMPLETO")),"DATOS INCOMPLETOS",B7-C7-D7-E7-F7)</f>
        <v>DATOS INCOMPLETOS</v>
      </c>
      <c r="H7" s="2" t="str">
        <f aca="false">IF(G7="DATOS INCOMPLETOS","DATOS INCOMPLETOS",IF(Supuestos!$B$6="","Umbral sin definir",IF(G7&gt;=Supuestos!$B$6,"Supera umbral","No supera")))</f>
        <v>DATOS INCOMPLETOS</v>
      </c>
      <c r="I7" s="9" t="str">
        <f aca="false">IF(G7="DATOS INCOMPLETOS","DATOS INCOMPLETOS",IF(Supuestos!$B$8="","CAC sin definir",G7-Supuestos!$B$8))</f>
        <v>DATOS INCOMPLETOS</v>
      </c>
    </row>
    <row r="8" customFormat="false" ht="1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3" t="s">
        <v>82</v>
      </c>
      <c r="B9" s="3"/>
      <c r="C9" s="3"/>
      <c r="D9" s="3"/>
      <c r="E9" s="3"/>
      <c r="F9" s="3"/>
      <c r="G9" s="3"/>
      <c r="H9" s="3"/>
      <c r="I9" s="3"/>
    </row>
  </sheetData>
  <conditionalFormatting sqref="G5:I7">
    <cfRule type="expression" priority="2" aboveAverage="0" equalAverage="0" bottom="0" percent="0" rank="0" text="" dxfId="0">
      <formula>G5="DATOS INCOMPLETOS"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83</v>
      </c>
      <c r="B1" s="3"/>
      <c r="C1" s="3"/>
    </row>
    <row r="2" customFormat="false" ht="15" hidden="false" customHeight="false" outlineLevel="0" collapsed="false">
      <c r="A2" s="3"/>
      <c r="B2" s="3"/>
      <c r="C2" s="3"/>
    </row>
    <row r="3" customFormat="false" ht="33.75" hidden="false" customHeight="true" outlineLevel="0" collapsed="false">
      <c r="A3" s="5" t="s">
        <v>84</v>
      </c>
      <c r="B3" s="5" t="s">
        <v>15</v>
      </c>
      <c r="C3" s="5" t="s">
        <v>85</v>
      </c>
    </row>
    <row r="4" customFormat="false" ht="15" hidden="false" customHeight="false" outlineLevel="0" collapsed="false">
      <c r="A4" s="3" t="s">
        <v>86</v>
      </c>
      <c r="B4" s="13"/>
      <c r="C4" s="3" t="s">
        <v>87</v>
      </c>
    </row>
    <row r="5" customFormat="false" ht="15" hidden="false" customHeight="false" outlineLevel="0" collapsed="false">
      <c r="A5" s="3" t="s">
        <v>88</v>
      </c>
      <c r="B5" s="14" t="n">
        <f aca="false">Supuestos!B9</f>
        <v>0</v>
      </c>
      <c r="C5" s="3"/>
    </row>
    <row r="6" customFormat="false" ht="15" hidden="false" customHeight="false" outlineLevel="0" collapsed="false">
      <c r="A6" s="3" t="s">
        <v>89</v>
      </c>
      <c r="B6" s="12" t="str">
        <f aca="false">'Costes variables'!B27</f>
        <v>DATOS INCOMPLETOS</v>
      </c>
      <c r="C6" s="3"/>
    </row>
    <row r="7" customFormat="false" ht="15" hidden="false" customHeight="false" outlineLevel="0" collapsed="false">
      <c r="A7" s="3" t="s">
        <v>90</v>
      </c>
      <c r="B7" s="8"/>
      <c r="C7" s="3" t="s">
        <v>91</v>
      </c>
    </row>
    <row r="8" customFormat="false" ht="15" hidden="false" customHeight="false" outlineLevel="0" collapsed="false">
      <c r="A8" s="2" t="s">
        <v>92</v>
      </c>
      <c r="B8" s="10" t="str">
        <f aca="false">IF(OR(B4="",B5="",B7="",B6="DATOS INCOMPLETOS"),"DATOS INCOMPLETOS",B4*B5*B6+B7*B6)</f>
        <v>DATOS INCOMPLETOS</v>
      </c>
      <c r="C8" s="3"/>
    </row>
    <row r="9" customFormat="false" ht="15" hidden="false" customHeight="false" outlineLevel="0" collapsed="false">
      <c r="A9" s="3" t="s">
        <v>93</v>
      </c>
      <c r="B9" s="12" t="str">
        <f aca="false">IF(Supuestos!B7="","—",Supuestos!B7)</f>
        <v>—</v>
      </c>
      <c r="C9" s="3"/>
    </row>
    <row r="10" customFormat="false" ht="15" hidden="false" customHeight="false" outlineLevel="0" collapsed="false">
      <c r="A10" s="3" t="s">
        <v>94</v>
      </c>
      <c r="B10" s="2" t="str">
        <f aca="false">IF(OR(B8="DATOS INCOMPLETOS",B9="—"),"DATOS INCOMPLETOS",IF(B9&gt;=B8,"Sí","INSUFICIENTE"))</f>
        <v>DATOS INCOMPLETOS</v>
      </c>
      <c r="C1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7" min="1" style="0" width="14"/>
  </cols>
  <sheetData>
    <row r="1" customFormat="false" ht="17.35" hidden="false" customHeight="false" outlineLevel="0" collapsed="false">
      <c r="A1" s="1" t="s">
        <v>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customFormat="false" ht="15" hidden="false" customHeight="false" outlineLevel="0" collapsed="false">
      <c r="A2" s="3" t="s">
        <v>96</v>
      </c>
      <c r="B2" s="3"/>
      <c r="C2" s="3"/>
      <c r="D2" s="7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customFormat="false" ht="33.75" hidden="false" customHeight="true" outlineLevel="0" collapsed="false">
      <c r="A3" s="5" t="s">
        <v>97</v>
      </c>
      <c r="B3" s="5" t="s">
        <v>98</v>
      </c>
      <c r="C3" s="5" t="s">
        <v>99</v>
      </c>
      <c r="D3" s="5" t="s">
        <v>100</v>
      </c>
      <c r="E3" s="5" t="s">
        <v>101</v>
      </c>
      <c r="F3" s="5" t="s">
        <v>102</v>
      </c>
      <c r="G3" s="5" t="s">
        <v>103</v>
      </c>
      <c r="H3" s="5" t="s">
        <v>104</v>
      </c>
      <c r="I3" s="5" t="s">
        <v>105</v>
      </c>
      <c r="J3" s="5" t="s">
        <v>106</v>
      </c>
      <c r="K3" s="5" t="s">
        <v>107</v>
      </c>
      <c r="L3" s="5" t="s">
        <v>108</v>
      </c>
      <c r="M3" s="5" t="s">
        <v>109</v>
      </c>
      <c r="N3" s="5" t="s">
        <v>110</v>
      </c>
      <c r="O3" s="5" t="s">
        <v>111</v>
      </c>
      <c r="P3" s="5" t="s">
        <v>112</v>
      </c>
      <c r="Q3" s="5" t="s">
        <v>113</v>
      </c>
    </row>
    <row r="4" customFormat="false" ht="15" hidden="false" customHeight="false" outlineLevel="0" collapsed="false">
      <c r="A4" s="15"/>
      <c r="B4" s="16"/>
      <c r="C4" s="16"/>
      <c r="D4" s="16"/>
      <c r="E4" s="16"/>
      <c r="F4" s="16"/>
      <c r="G4" s="7"/>
      <c r="H4" s="7"/>
      <c r="I4" s="7"/>
      <c r="J4" s="16"/>
      <c r="K4" s="11" t="str">
        <f aca="false">IF(OR(B4="",B4=0,F4=""),"",F4/B4)</f>
        <v/>
      </c>
      <c r="L4" s="11" t="str">
        <f aca="false">IF(OR(C4="",C4=0,D4=""),"",D4/C4)</f>
        <v/>
      </c>
      <c r="M4" s="11" t="str">
        <f aca="false">IF(OR(D4="",D4=0,E4=""),"",E4/D4)</f>
        <v/>
      </c>
      <c r="N4" s="9" t="str">
        <f aca="false">IF(OR(F4="",F4=0,G4=""),"",G4/F4)</f>
        <v/>
      </c>
      <c r="O4" s="9" t="str">
        <f aca="false">IF(OR(F4="",F4=0,H4=""),"",(H4+IF(I4="",0,I4))/F4)</f>
        <v/>
      </c>
      <c r="P4" s="9" t="str">
        <f aca="false">IF(F4="","",IF(ISNUMBER(IF(OR($D$2="",'Costes variables'!$B$20&lt;&gt;"COMPLETO"),"DATOS INCOMPLETOS",($D$2-'Costes variables'!$B$15+'Costes variables'!$B$14)*(1-'Costes variables'!$B$25)-'Costes variables'!$B$26-'Costes variables'!$B$24)),F4*IF(OR($D$2="",'Costes variables'!$B$20&lt;&gt;"COMPLETO"),"DATOS INCOMPLETOS",($D$2-'Costes variables'!$B$15+'Costes variables'!$B$14)*(1-'Costes variables'!$B$25)-'Costes variables'!$B$26-'Costes variables'!$B$24),"DATOS INCOMPLETOS"))</f>
        <v/>
      </c>
      <c r="Q4" s="11" t="str">
        <f aca="false">IF(OR(F4="",F4=0,J4=""),"",J4/F4)</f>
        <v/>
      </c>
    </row>
    <row r="5" customFormat="false" ht="15" hidden="false" customHeight="false" outlineLevel="0" collapsed="false">
      <c r="A5" s="15"/>
      <c r="B5" s="16"/>
      <c r="C5" s="16"/>
      <c r="D5" s="16"/>
      <c r="E5" s="16"/>
      <c r="F5" s="16"/>
      <c r="G5" s="7"/>
      <c r="H5" s="7"/>
      <c r="I5" s="7"/>
      <c r="J5" s="16"/>
      <c r="K5" s="11" t="str">
        <f aca="false">IF(OR(B5="",B5=0,F5=""),"",F5/B5)</f>
        <v/>
      </c>
      <c r="L5" s="11" t="str">
        <f aca="false">IF(OR(C5="",C5=0,D5=""),"",D5/C5)</f>
        <v/>
      </c>
      <c r="M5" s="11" t="str">
        <f aca="false">IF(OR(D5="",D5=0,E5=""),"",E5/D5)</f>
        <v/>
      </c>
      <c r="N5" s="9" t="str">
        <f aca="false">IF(OR(F5="",F5=0,G5=""),"",G5/F5)</f>
        <v/>
      </c>
      <c r="O5" s="9" t="str">
        <f aca="false">IF(OR(F5="",F5=0,H5=""),"",(H5+IF(I5="",0,I5))/F5)</f>
        <v/>
      </c>
      <c r="P5" s="9" t="str">
        <f aca="false">IF(F5="","",IF(ISNUMBER(IF(OR($D$2="",'Costes variables'!$B$20&lt;&gt;"COMPLETO"),"DATOS INCOMPLETOS",($D$2-'Costes variables'!$B$15+'Costes variables'!$B$14)*(1-'Costes variables'!$B$25)-'Costes variables'!$B$26-'Costes variables'!$B$24)),F5*IF(OR($D$2="",'Costes variables'!$B$20&lt;&gt;"COMPLETO"),"DATOS INCOMPLETOS",($D$2-'Costes variables'!$B$15+'Costes variables'!$B$14)*(1-'Costes variables'!$B$25)-'Costes variables'!$B$26-'Costes variables'!$B$24),"DATOS INCOMPLETOS"))</f>
        <v/>
      </c>
      <c r="Q5" s="11" t="str">
        <f aca="false">IF(OR(F5="",F5=0,J5=""),"",J5/F5)</f>
        <v/>
      </c>
    </row>
    <row r="6" customFormat="false" ht="15" hidden="false" customHeight="false" outlineLevel="0" collapsed="false">
      <c r="A6" s="15"/>
      <c r="B6" s="16"/>
      <c r="C6" s="16"/>
      <c r="D6" s="16"/>
      <c r="E6" s="16"/>
      <c r="F6" s="16"/>
      <c r="G6" s="7"/>
      <c r="H6" s="7"/>
      <c r="I6" s="7"/>
      <c r="J6" s="16"/>
      <c r="K6" s="11" t="str">
        <f aca="false">IF(OR(B6="",B6=0,F6=""),"",F6/B6)</f>
        <v/>
      </c>
      <c r="L6" s="11" t="str">
        <f aca="false">IF(OR(C6="",C6=0,D6=""),"",D6/C6)</f>
        <v/>
      </c>
      <c r="M6" s="11" t="str">
        <f aca="false">IF(OR(D6="",D6=0,E6=""),"",E6/D6)</f>
        <v/>
      </c>
      <c r="N6" s="9" t="str">
        <f aca="false">IF(OR(F6="",F6=0,G6=""),"",G6/F6)</f>
        <v/>
      </c>
      <c r="O6" s="9" t="str">
        <f aca="false">IF(OR(F6="",F6=0,H6=""),"",(H6+IF(I6="",0,I6))/F6)</f>
        <v/>
      </c>
      <c r="P6" s="9" t="str">
        <f aca="false">IF(F6="","",IF(ISNUMBER(IF(OR($D$2="",'Costes variables'!$B$20&lt;&gt;"COMPLETO"),"DATOS INCOMPLETOS",($D$2-'Costes variables'!$B$15+'Costes variables'!$B$14)*(1-'Costes variables'!$B$25)-'Costes variables'!$B$26-'Costes variables'!$B$24)),F6*IF(OR($D$2="",'Costes variables'!$B$20&lt;&gt;"COMPLETO"),"DATOS INCOMPLETOS",($D$2-'Costes variables'!$B$15+'Costes variables'!$B$14)*(1-'Costes variables'!$B$25)-'Costes variables'!$B$26-'Costes variables'!$B$24),"DATOS INCOMPLETOS"))</f>
        <v/>
      </c>
      <c r="Q6" s="11" t="str">
        <f aca="false">IF(OR(F6="",F6=0,J6=""),"",J6/F6)</f>
        <v/>
      </c>
    </row>
    <row r="7" customFormat="false" ht="15" hidden="false" customHeight="false" outlineLevel="0" collapsed="false">
      <c r="A7" s="15"/>
      <c r="B7" s="16"/>
      <c r="C7" s="16"/>
      <c r="D7" s="16"/>
      <c r="E7" s="16"/>
      <c r="F7" s="16"/>
      <c r="G7" s="7"/>
      <c r="H7" s="7"/>
      <c r="I7" s="7"/>
      <c r="J7" s="16"/>
      <c r="K7" s="11" t="str">
        <f aca="false">IF(OR(B7="",B7=0,F7=""),"",F7/B7)</f>
        <v/>
      </c>
      <c r="L7" s="11" t="str">
        <f aca="false">IF(OR(C7="",C7=0,D7=""),"",D7/C7)</f>
        <v/>
      </c>
      <c r="M7" s="11" t="str">
        <f aca="false">IF(OR(D7="",D7=0,E7=""),"",E7/D7)</f>
        <v/>
      </c>
      <c r="N7" s="9" t="str">
        <f aca="false">IF(OR(F7="",F7=0,G7=""),"",G7/F7)</f>
        <v/>
      </c>
      <c r="O7" s="9" t="str">
        <f aca="false">IF(OR(F7="",F7=0,H7=""),"",(H7+IF(I7="",0,I7))/F7)</f>
        <v/>
      </c>
      <c r="P7" s="9" t="str">
        <f aca="false">IF(F7="","",IF(ISNUMBER(IF(OR($D$2="",'Costes variables'!$B$20&lt;&gt;"COMPLETO"),"DATOS INCOMPLETOS",($D$2-'Costes variables'!$B$15+'Costes variables'!$B$14)*(1-'Costes variables'!$B$25)-'Costes variables'!$B$26-'Costes variables'!$B$24)),F7*IF(OR($D$2="",'Costes variables'!$B$20&lt;&gt;"COMPLETO"),"DATOS INCOMPLETOS",($D$2-'Costes variables'!$B$15+'Costes variables'!$B$14)*(1-'Costes variables'!$B$25)-'Costes variables'!$B$26-'Costes variables'!$B$24),"DATOS INCOMPLETOS"))</f>
        <v/>
      </c>
      <c r="Q7" s="11" t="str">
        <f aca="false">IF(OR(F7="",F7=0,J7=""),"",J7/F7)</f>
        <v/>
      </c>
    </row>
    <row r="8" customFormat="false" ht="15" hidden="false" customHeight="false" outlineLevel="0" collapsed="false">
      <c r="A8" s="15"/>
      <c r="B8" s="16"/>
      <c r="C8" s="16"/>
      <c r="D8" s="16"/>
      <c r="E8" s="16"/>
      <c r="F8" s="16"/>
      <c r="G8" s="7"/>
      <c r="H8" s="7"/>
      <c r="I8" s="7"/>
      <c r="J8" s="16"/>
      <c r="K8" s="11" t="str">
        <f aca="false">IF(OR(B8="",B8=0,F8=""),"",F8/B8)</f>
        <v/>
      </c>
      <c r="L8" s="11" t="str">
        <f aca="false">IF(OR(C8="",C8=0,D8=""),"",D8/C8)</f>
        <v/>
      </c>
      <c r="M8" s="11" t="str">
        <f aca="false">IF(OR(D8="",D8=0,E8=""),"",E8/D8)</f>
        <v/>
      </c>
      <c r="N8" s="9" t="str">
        <f aca="false">IF(OR(F8="",F8=0,G8=""),"",G8/F8)</f>
        <v/>
      </c>
      <c r="O8" s="9" t="str">
        <f aca="false">IF(OR(F8="",F8=0,H8=""),"",(H8+IF(I8="",0,I8))/F8)</f>
        <v/>
      </c>
      <c r="P8" s="9" t="str">
        <f aca="false">IF(F8="","",IF(ISNUMBER(IF(OR($D$2="",'Costes variables'!$B$20&lt;&gt;"COMPLETO"),"DATOS INCOMPLETOS",($D$2-'Costes variables'!$B$15+'Costes variables'!$B$14)*(1-'Costes variables'!$B$25)-'Costes variables'!$B$26-'Costes variables'!$B$24)),F8*IF(OR($D$2="",'Costes variables'!$B$20&lt;&gt;"COMPLETO"),"DATOS INCOMPLETOS",($D$2-'Costes variables'!$B$15+'Costes variables'!$B$14)*(1-'Costes variables'!$B$25)-'Costes variables'!$B$26-'Costes variables'!$B$24),"DATOS INCOMPLETOS"))</f>
        <v/>
      </c>
      <c r="Q8" s="11" t="str">
        <f aca="false">IF(OR(F8="",F8=0,J8=""),"",J8/F8)</f>
        <v/>
      </c>
    </row>
    <row r="9" customFormat="false" ht="15" hidden="false" customHeight="false" outlineLevel="0" collapsed="false">
      <c r="A9" s="15"/>
      <c r="B9" s="16"/>
      <c r="C9" s="16"/>
      <c r="D9" s="16"/>
      <c r="E9" s="16"/>
      <c r="F9" s="16"/>
      <c r="G9" s="7"/>
      <c r="H9" s="7"/>
      <c r="I9" s="7"/>
      <c r="J9" s="16"/>
      <c r="K9" s="11" t="str">
        <f aca="false">IF(OR(B9="",B9=0,F9=""),"",F9/B9)</f>
        <v/>
      </c>
      <c r="L9" s="11" t="str">
        <f aca="false">IF(OR(C9="",C9=0,D9=""),"",D9/C9)</f>
        <v/>
      </c>
      <c r="M9" s="11" t="str">
        <f aca="false">IF(OR(D9="",D9=0,E9=""),"",E9/D9)</f>
        <v/>
      </c>
      <c r="N9" s="9" t="str">
        <f aca="false">IF(OR(F9="",F9=0,G9=""),"",G9/F9)</f>
        <v/>
      </c>
      <c r="O9" s="9" t="str">
        <f aca="false">IF(OR(F9="",F9=0,H9=""),"",(H9+IF(I9="",0,I9))/F9)</f>
        <v/>
      </c>
      <c r="P9" s="9" t="str">
        <f aca="false">IF(F9="","",IF(ISNUMBER(IF(OR($D$2="",'Costes variables'!$B$20&lt;&gt;"COMPLETO"),"DATOS INCOMPLETOS",($D$2-'Costes variables'!$B$15+'Costes variables'!$B$14)*(1-'Costes variables'!$B$25)-'Costes variables'!$B$26-'Costes variables'!$B$24)),F9*IF(OR($D$2="",'Costes variables'!$B$20&lt;&gt;"COMPLETO"),"DATOS INCOMPLETOS",($D$2-'Costes variables'!$B$15+'Costes variables'!$B$14)*(1-'Costes variables'!$B$25)-'Costes variables'!$B$26-'Costes variables'!$B$24),"DATOS INCOMPLETOS"))</f>
        <v/>
      </c>
      <c r="Q9" s="11" t="str">
        <f aca="false">IF(OR(F9="",F9=0,J9=""),"",J9/F9)</f>
        <v/>
      </c>
    </row>
    <row r="10" customFormat="false" ht="15" hidden="false" customHeight="false" outlineLevel="0" collapsed="false">
      <c r="A10" s="15"/>
      <c r="B10" s="16"/>
      <c r="C10" s="16"/>
      <c r="D10" s="16"/>
      <c r="E10" s="16"/>
      <c r="F10" s="16"/>
      <c r="G10" s="7"/>
      <c r="H10" s="7"/>
      <c r="I10" s="7"/>
      <c r="J10" s="16"/>
      <c r="K10" s="11" t="str">
        <f aca="false">IF(OR(B10="",B10=0,F10=""),"",F10/B10)</f>
        <v/>
      </c>
      <c r="L10" s="11" t="str">
        <f aca="false">IF(OR(C10="",C10=0,D10=""),"",D10/C10)</f>
        <v/>
      </c>
      <c r="M10" s="11" t="str">
        <f aca="false">IF(OR(D10="",D10=0,E10=""),"",E10/D10)</f>
        <v/>
      </c>
      <c r="N10" s="9" t="str">
        <f aca="false">IF(OR(F10="",F10=0,G10=""),"",G10/F10)</f>
        <v/>
      </c>
      <c r="O10" s="9" t="str">
        <f aca="false">IF(OR(F10="",F10=0,H10=""),"",(H10+IF(I10="",0,I10))/F10)</f>
        <v/>
      </c>
      <c r="P10" s="9" t="str">
        <f aca="false">IF(F10="","",IF(ISNUMBER(IF(OR($D$2="",'Costes variables'!$B$20&lt;&gt;"COMPLETO"),"DATOS INCOMPLETOS",($D$2-'Costes variables'!$B$15+'Costes variables'!$B$14)*(1-'Costes variables'!$B$25)-'Costes variables'!$B$26-'Costes variables'!$B$24)),F10*IF(OR($D$2="",'Costes variables'!$B$20&lt;&gt;"COMPLETO"),"DATOS INCOMPLETOS",($D$2-'Costes variables'!$B$15+'Costes variables'!$B$14)*(1-'Costes variables'!$B$25)-'Costes variables'!$B$26-'Costes variables'!$B$24),"DATOS INCOMPLETOS"))</f>
        <v/>
      </c>
      <c r="Q10" s="11" t="str">
        <f aca="false">IF(OR(F10="",F10=0,J10=""),"",J10/F10)</f>
        <v/>
      </c>
    </row>
    <row r="11" customFormat="false" ht="15" hidden="false" customHeight="false" outlineLevel="0" collapsed="false">
      <c r="A11" s="15"/>
      <c r="B11" s="16"/>
      <c r="C11" s="16"/>
      <c r="D11" s="16"/>
      <c r="E11" s="16"/>
      <c r="F11" s="16"/>
      <c r="G11" s="7"/>
      <c r="H11" s="7"/>
      <c r="I11" s="7"/>
      <c r="J11" s="16"/>
      <c r="K11" s="11" t="str">
        <f aca="false">IF(OR(B11="",B11=0,F11=""),"",F11/B11)</f>
        <v/>
      </c>
      <c r="L11" s="11" t="str">
        <f aca="false">IF(OR(C11="",C11=0,D11=""),"",D11/C11)</f>
        <v/>
      </c>
      <c r="M11" s="11" t="str">
        <f aca="false">IF(OR(D11="",D11=0,E11=""),"",E11/D11)</f>
        <v/>
      </c>
      <c r="N11" s="9" t="str">
        <f aca="false">IF(OR(F11="",F11=0,G11=""),"",G11/F11)</f>
        <v/>
      </c>
      <c r="O11" s="9" t="str">
        <f aca="false">IF(OR(F11="",F11=0,H11=""),"",(H11+IF(I11="",0,I11))/F11)</f>
        <v/>
      </c>
      <c r="P11" s="9" t="str">
        <f aca="false">IF(F11="","",IF(ISNUMBER(IF(OR($D$2="",'Costes variables'!$B$20&lt;&gt;"COMPLETO"),"DATOS INCOMPLETOS",($D$2-'Costes variables'!$B$15+'Costes variables'!$B$14)*(1-'Costes variables'!$B$25)-'Costes variables'!$B$26-'Costes variables'!$B$24)),F11*IF(OR($D$2="",'Costes variables'!$B$20&lt;&gt;"COMPLETO"),"DATOS INCOMPLETOS",($D$2-'Costes variables'!$B$15+'Costes variables'!$B$14)*(1-'Costes variables'!$B$25)-'Costes variables'!$B$26-'Costes variables'!$B$24),"DATOS INCOMPLETOS"))</f>
        <v/>
      </c>
      <c r="Q11" s="11" t="str">
        <f aca="false">IF(OR(F11="",F11=0,J11=""),"",J11/F11)</f>
        <v/>
      </c>
    </row>
    <row r="12" customFormat="false" ht="15" hidden="false" customHeight="false" outlineLevel="0" collapsed="false">
      <c r="A12" s="15"/>
      <c r="B12" s="16"/>
      <c r="C12" s="16"/>
      <c r="D12" s="16"/>
      <c r="E12" s="16"/>
      <c r="F12" s="16"/>
      <c r="G12" s="7"/>
      <c r="H12" s="7"/>
      <c r="I12" s="7"/>
      <c r="J12" s="16"/>
      <c r="K12" s="11" t="str">
        <f aca="false">IF(OR(B12="",B12=0,F12=""),"",F12/B12)</f>
        <v/>
      </c>
      <c r="L12" s="11" t="str">
        <f aca="false">IF(OR(C12="",C12=0,D12=""),"",D12/C12)</f>
        <v/>
      </c>
      <c r="M12" s="11" t="str">
        <f aca="false">IF(OR(D12="",D12=0,E12=""),"",E12/D12)</f>
        <v/>
      </c>
      <c r="N12" s="9" t="str">
        <f aca="false">IF(OR(F12="",F12=0,G12=""),"",G12/F12)</f>
        <v/>
      </c>
      <c r="O12" s="9" t="str">
        <f aca="false">IF(OR(F12="",F12=0,H12=""),"",(H12+IF(I12="",0,I12))/F12)</f>
        <v/>
      </c>
      <c r="P12" s="9" t="str">
        <f aca="false">IF(F12="","",IF(ISNUMBER(IF(OR($D$2="",'Costes variables'!$B$20&lt;&gt;"COMPLETO"),"DATOS INCOMPLETOS",($D$2-'Costes variables'!$B$15+'Costes variables'!$B$14)*(1-'Costes variables'!$B$25)-'Costes variables'!$B$26-'Costes variables'!$B$24)),F12*IF(OR($D$2="",'Costes variables'!$B$20&lt;&gt;"COMPLETO"),"DATOS INCOMPLETOS",($D$2-'Costes variables'!$B$15+'Costes variables'!$B$14)*(1-'Costes variables'!$B$25)-'Costes variables'!$B$26-'Costes variables'!$B$24),"DATOS INCOMPLETOS"))</f>
        <v/>
      </c>
      <c r="Q12" s="11" t="str">
        <f aca="false">IF(OR(F12="",F12=0,J12=""),"",J12/F12)</f>
        <v/>
      </c>
    </row>
    <row r="13" customFormat="false" ht="15" hidden="false" customHeight="false" outlineLevel="0" collapsed="false">
      <c r="A13" s="15"/>
      <c r="B13" s="16"/>
      <c r="C13" s="16"/>
      <c r="D13" s="16"/>
      <c r="E13" s="16"/>
      <c r="F13" s="16"/>
      <c r="G13" s="7"/>
      <c r="H13" s="7"/>
      <c r="I13" s="7"/>
      <c r="J13" s="16"/>
      <c r="K13" s="11" t="str">
        <f aca="false">IF(OR(B13="",B13=0,F13=""),"",F13/B13)</f>
        <v/>
      </c>
      <c r="L13" s="11" t="str">
        <f aca="false">IF(OR(C13="",C13=0,D13=""),"",D13/C13)</f>
        <v/>
      </c>
      <c r="M13" s="11" t="str">
        <f aca="false">IF(OR(D13="",D13=0,E13=""),"",E13/D13)</f>
        <v/>
      </c>
      <c r="N13" s="9" t="str">
        <f aca="false">IF(OR(F13="",F13=0,G13=""),"",G13/F13)</f>
        <v/>
      </c>
      <c r="O13" s="9" t="str">
        <f aca="false">IF(OR(F13="",F13=0,H13=""),"",(H13+IF(I13="",0,I13))/F13)</f>
        <v/>
      </c>
      <c r="P13" s="9" t="str">
        <f aca="false">IF(F13="","",IF(ISNUMBER(IF(OR($D$2="",'Costes variables'!$B$20&lt;&gt;"COMPLETO"),"DATOS INCOMPLETOS",($D$2-'Costes variables'!$B$15+'Costes variables'!$B$14)*(1-'Costes variables'!$B$25)-'Costes variables'!$B$26-'Costes variables'!$B$24)),F13*IF(OR($D$2="",'Costes variables'!$B$20&lt;&gt;"COMPLETO"),"DATOS INCOMPLETOS",($D$2-'Costes variables'!$B$15+'Costes variables'!$B$14)*(1-'Costes variables'!$B$25)-'Costes variables'!$B$26-'Costes variables'!$B$24),"DATOS INCOMPLETOS"))</f>
        <v/>
      </c>
      <c r="Q13" s="11" t="str">
        <f aca="false">IF(OR(F13="",F13=0,J13=""),"",J13/F13)</f>
        <v/>
      </c>
    </row>
    <row r="14" customFormat="false" ht="15" hidden="false" customHeight="false" outlineLevel="0" collapsed="false">
      <c r="A14" s="15"/>
      <c r="B14" s="16"/>
      <c r="C14" s="16"/>
      <c r="D14" s="16"/>
      <c r="E14" s="16"/>
      <c r="F14" s="16"/>
      <c r="G14" s="7"/>
      <c r="H14" s="7"/>
      <c r="I14" s="7"/>
      <c r="J14" s="16"/>
      <c r="K14" s="11" t="str">
        <f aca="false">IF(OR(B14="",B14=0,F14=""),"",F14/B14)</f>
        <v/>
      </c>
      <c r="L14" s="11" t="str">
        <f aca="false">IF(OR(C14="",C14=0,D14=""),"",D14/C14)</f>
        <v/>
      </c>
      <c r="M14" s="11" t="str">
        <f aca="false">IF(OR(D14="",D14=0,E14=""),"",E14/D14)</f>
        <v/>
      </c>
      <c r="N14" s="9" t="str">
        <f aca="false">IF(OR(F14="",F14=0,G14=""),"",G14/F14)</f>
        <v/>
      </c>
      <c r="O14" s="9" t="str">
        <f aca="false">IF(OR(F14="",F14=0,H14=""),"",(H14+IF(I14="",0,I14))/F14)</f>
        <v/>
      </c>
      <c r="P14" s="9" t="str">
        <f aca="false">IF(F14="","",IF(ISNUMBER(IF(OR($D$2="",'Costes variables'!$B$20&lt;&gt;"COMPLETO"),"DATOS INCOMPLETOS",($D$2-'Costes variables'!$B$15+'Costes variables'!$B$14)*(1-'Costes variables'!$B$25)-'Costes variables'!$B$26-'Costes variables'!$B$24)),F14*IF(OR($D$2="",'Costes variables'!$B$20&lt;&gt;"COMPLETO"),"DATOS INCOMPLETOS",($D$2-'Costes variables'!$B$15+'Costes variables'!$B$14)*(1-'Costes variables'!$B$25)-'Costes variables'!$B$26-'Costes variables'!$B$24),"DATOS INCOMPLETOS"))</f>
        <v/>
      </c>
      <c r="Q14" s="11" t="str">
        <f aca="false">IF(OR(F14="",F14=0,J14=""),"",J14/F14)</f>
        <v/>
      </c>
    </row>
    <row r="15" customFormat="false" ht="15" hidden="false" customHeight="false" outlineLevel="0" collapsed="false">
      <c r="A15" s="15"/>
      <c r="B15" s="16"/>
      <c r="C15" s="16"/>
      <c r="D15" s="16"/>
      <c r="E15" s="16"/>
      <c r="F15" s="16"/>
      <c r="G15" s="7"/>
      <c r="H15" s="7"/>
      <c r="I15" s="7"/>
      <c r="J15" s="16"/>
      <c r="K15" s="11" t="str">
        <f aca="false">IF(OR(B15="",B15=0,F15=""),"",F15/B15)</f>
        <v/>
      </c>
      <c r="L15" s="11" t="str">
        <f aca="false">IF(OR(C15="",C15=0,D15=""),"",D15/C15)</f>
        <v/>
      </c>
      <c r="M15" s="11" t="str">
        <f aca="false">IF(OR(D15="",D15=0,E15=""),"",E15/D15)</f>
        <v/>
      </c>
      <c r="N15" s="9" t="str">
        <f aca="false">IF(OR(F15="",F15=0,G15=""),"",G15/F15)</f>
        <v/>
      </c>
      <c r="O15" s="9" t="str">
        <f aca="false">IF(OR(F15="",F15=0,H15=""),"",(H15+IF(I15="",0,I15))/F15)</f>
        <v/>
      </c>
      <c r="P15" s="9" t="str">
        <f aca="false">IF(F15="","",IF(ISNUMBER(IF(OR($D$2="",'Costes variables'!$B$20&lt;&gt;"COMPLETO"),"DATOS INCOMPLETOS",($D$2-'Costes variables'!$B$15+'Costes variables'!$B$14)*(1-'Costes variables'!$B$25)-'Costes variables'!$B$26-'Costes variables'!$B$24)),F15*IF(OR($D$2="",'Costes variables'!$B$20&lt;&gt;"COMPLETO"),"DATOS INCOMPLETOS",($D$2-'Costes variables'!$B$15+'Costes variables'!$B$14)*(1-'Costes variables'!$B$25)-'Costes variables'!$B$26-'Costes variables'!$B$24),"DATOS INCOMPLETOS"))</f>
        <v/>
      </c>
      <c r="Q15" s="11" t="str">
        <f aca="false">IF(OR(F15="",F15=0,J15=""),"",J15/F15)</f>
        <v/>
      </c>
    </row>
    <row r="16" customFormat="false" ht="1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customFormat="false" ht="15" hidden="false" customHeight="false" outlineLevel="0" collapsed="false">
      <c r="A17" s="3" t="s">
        <v>114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115</v>
      </c>
      <c r="B1" s="3"/>
      <c r="C1" s="3"/>
      <c r="D1" s="3"/>
      <c r="E1" s="3"/>
      <c r="F1" s="3"/>
    </row>
    <row r="2" customFormat="false" ht="15" hidden="false" customHeight="false" outlineLevel="0" collapsed="false">
      <c r="A2" s="3" t="s">
        <v>116</v>
      </c>
      <c r="B2" s="3"/>
      <c r="C2" s="3"/>
      <c r="D2" s="3"/>
      <c r="E2" s="8" t="n">
        <v>2</v>
      </c>
      <c r="F2" s="3" t="s">
        <v>117</v>
      </c>
    </row>
    <row r="3" customFormat="false" ht="15" hidden="false" customHeight="false" outlineLevel="0" collapsed="false">
      <c r="A3" s="3" t="s">
        <v>118</v>
      </c>
      <c r="B3" s="3"/>
      <c r="C3" s="12" t="str">
        <f aca="false">INDEX('Test de precio'!G5:G7,E2)</f>
        <v>DATOS INCOMPLETOS</v>
      </c>
      <c r="D3" s="3"/>
      <c r="E3" s="3"/>
      <c r="F3" s="3"/>
    </row>
    <row r="4" customFormat="false" ht="15" hidden="false" customHeight="false" outlineLevel="0" collapsed="false">
      <c r="A4" s="3"/>
      <c r="B4" s="3"/>
      <c r="C4" s="3"/>
      <c r="D4" s="3"/>
      <c r="E4" s="3"/>
      <c r="F4" s="3"/>
    </row>
    <row r="5" customFormat="false" ht="33.75" hidden="false" customHeight="true" outlineLevel="0" collapsed="false">
      <c r="A5" s="5" t="s">
        <v>119</v>
      </c>
      <c r="B5" s="5" t="s">
        <v>120</v>
      </c>
      <c r="C5" s="5" t="s">
        <v>121</v>
      </c>
      <c r="D5" s="5" t="s">
        <v>122</v>
      </c>
      <c r="E5" s="5" t="s">
        <v>123</v>
      </c>
      <c r="F5" s="3"/>
    </row>
    <row r="6" customFormat="false" ht="15" hidden="false" customHeight="false" outlineLevel="0" collapsed="false">
      <c r="A6" s="16"/>
      <c r="B6" s="6"/>
      <c r="C6" s="17" t="str">
        <f aca="false">IF(OR(A6="",B6=""),"",A6*B6)</f>
        <v/>
      </c>
      <c r="D6" s="9" t="str">
        <f aca="false">IF(C6="","",IF(ISNUMBER($C$3),C6*$C$3,"DATOS INCOMPLETOS"))</f>
        <v/>
      </c>
      <c r="E6" s="9" t="str">
        <f aca="false">IF(C6="","",IF(ISNUMBER('Costes variables'!$B$27),C6*'Costes variables'!$B$27,"DATOS INCOMPLETOS"))</f>
        <v/>
      </c>
      <c r="F6" s="3"/>
    </row>
    <row r="7" customFormat="false" ht="15" hidden="false" customHeight="false" outlineLevel="0" collapsed="false">
      <c r="A7" s="16"/>
      <c r="B7" s="6"/>
      <c r="C7" s="17" t="str">
        <f aca="false">IF(OR(A7="",B7=""),"",A7*B7)</f>
        <v/>
      </c>
      <c r="D7" s="9" t="str">
        <f aca="false">IF(C7="","",IF(ISNUMBER($C$3),C7*$C$3,"DATOS INCOMPLETOS"))</f>
        <v/>
      </c>
      <c r="E7" s="9" t="str">
        <f aca="false">IF(C7="","",IF(ISNUMBER('Costes variables'!$B$27),C7*'Costes variables'!$B$27,"DATOS INCOMPLETOS"))</f>
        <v/>
      </c>
      <c r="F7" s="3"/>
    </row>
    <row r="8" customFormat="false" ht="15" hidden="false" customHeight="false" outlineLevel="0" collapsed="false">
      <c r="A8" s="16"/>
      <c r="B8" s="6"/>
      <c r="C8" s="17" t="str">
        <f aca="false">IF(OR(A8="",B8=""),"",A8*B8)</f>
        <v/>
      </c>
      <c r="D8" s="9" t="str">
        <f aca="false">IF(C8="","",IF(ISNUMBER($C$3),C8*$C$3,"DATOS INCOMPLETOS"))</f>
        <v/>
      </c>
      <c r="E8" s="9" t="str">
        <f aca="false">IF(C8="","",IF(ISNUMBER('Costes variables'!$B$27),C8*'Costes variables'!$B$27,"DATOS INCOMPLETOS"))</f>
        <v/>
      </c>
      <c r="F8" s="3"/>
    </row>
    <row r="9" customFormat="false" ht="15" hidden="false" customHeight="false" outlineLevel="0" collapsed="false">
      <c r="A9" s="16"/>
      <c r="B9" s="6"/>
      <c r="C9" s="17" t="str">
        <f aca="false">IF(OR(A9="",B9=""),"",A9*B9)</f>
        <v/>
      </c>
      <c r="D9" s="9" t="str">
        <f aca="false">IF(C9="","",IF(ISNUMBER($C$3),C9*$C$3,"DATOS INCOMPLETOS"))</f>
        <v/>
      </c>
      <c r="E9" s="9" t="str">
        <f aca="false">IF(C9="","",IF(ISNUMBER('Costes variables'!$B$27),C9*'Costes variables'!$B$27,"DATOS INCOMPLETOS"))</f>
        <v/>
      </c>
      <c r="F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2026-10-13T21:11:39Z</dcterms:created>
  <dc:creator>openpyxl</dc:creator>
  <dc:description/>
  <dc:language>en-US</dc:language>
  <cp:lastModifiedBy/>
  <dcterms:modified xsi:type="dcterms:W3CDTF">2026-10-13T21:11:39Z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