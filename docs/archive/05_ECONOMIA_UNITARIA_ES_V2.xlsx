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Supuestos" sheetId="2" state="visible" r:id="rId4"/>
    <sheet name="Escenarios" sheetId="3" state="visible" r:id="rId5"/>
    <sheet name="Test de precio" sheetId="4" state="visible" r:id="rId6"/>
    <sheet name="Capital circulante" sheetId="5" state="visible" r:id="rId7"/>
    <sheet name="Panel semanal" sheetId="6" state="visible" r:id="rId8"/>
    <sheet name="Sensibilida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<sst xmlns="http://schemas.openxmlformats.org/spreadsheetml/2006/main" count="122" uniqueCount="114">
  <si>
    <t xml:space="preserve">Economía unitaria · Descanso Compartido · V2 (13/10/2026)</t>
  </si>
  <si>
    <t xml:space="preserve">Ninguna cifra de este libro es un coste o precio real confirmado salvo lo que el titular escriba en la columna REAL con facturas o cotizaciones firmadas.</t>
  </si>
  <si>
    <t xml:space="preserve">Cómo usarlo</t>
  </si>
  <si>
    <t xml:space="preserve">1. Celdas AMARILLAS con texto AZUL = datos editables. Texto NEGRO = fórmulas (no sobrescribir). VERDE = enlace a otra hoja.</t>
  </si>
  <si>
    <t xml:space="preserve">2. Columna REAL (hoja Escenarios): rellenar las 5 partidas del coste (filas 7–11). Si falta UNA, la columna muestra «DATOS INCOMPLETOS» y no calcula margen.</t>
  </si>
  <si>
    <t xml:space="preserve">3. Una partida que realmente vale 0 se escribe 0; una celda VACÍA significa «no lo sé» y bloquea el cálculo.</t>
  </si>
  <si>
    <t xml:space="preserve">4. Escenarios 1–5 = hipótesis de los informes (coste agregado). Reproducen 0,56 / 7,04 / 11,54 / 11,03 / 7,14 €.</t>
  </si>
  <si>
    <t xml:space="preserve">5. Veredictos posibles: «Supera umbral (hipótesis)», «No supera (hipótesis)», «Supera umbral», «No supera», «DATOS INCOMPLETOS». Nunca «rentable».</t>
  </si>
  <si>
    <t xml:space="preserve">Formato esperado de una fila del panel semanal (ejemplo de FORMATO, no son datos): semana 2026-W43 · sesiones 1.000 · sesiones con vista de producto 400 · con ATC 40 · con checkout 20 · pedidos 10 · ventas brutas 299,00 € …</t>
  </si>
  <si>
    <t xml:space="preserve">Fuentes de los supuestos</t>
  </si>
  <si>
    <t xml:space="preserve">IVA 21 %: tipo general (AEAT, S25); tipo del SKU pendiente de confirmar por asesoría.</t>
  </si>
  <si>
    <t xml:space="preserve">Comisión 2,9 % + 0,30 €: supuesto prudencial de los informes; sustituir por la tarifa real del plan (fila «Comisión real»).</t>
  </si>
  <si>
    <t xml:space="preserve">Liquidación Shopify Payments ≥ 3 días hábiles (S27). Capital 50 €: presupuesto declarado por el titular. CAC 10 €: ejemplo del Estudio §9.2.</t>
  </si>
  <si>
    <t xml:space="preserve">No incluido: cuota Shopify, apps, gestoría, IRPF y publicidad salvo CAC.</t>
  </si>
  <si>
    <t xml:space="preserve">Supuestos globales</t>
  </si>
  <si>
    <t xml:space="preserve">Supuesto</t>
  </si>
  <si>
    <t xml:space="preserve">Valor</t>
  </si>
  <si>
    <t xml:space="preserve">Fuente / nota</t>
  </si>
  <si>
    <t xml:space="preserve">IVA aplicado al PVP (hipótesis)</t>
  </si>
  <si>
    <t xml:space="preserve">S25 tipo general; tipo del SKU pendiente (asesoría).</t>
  </si>
  <si>
    <t xml:space="preserve">Comisión de pago variable (hipótesis)</t>
  </si>
  <si>
    <t xml:space="preserve">Supuesto de los informes.</t>
  </si>
  <si>
    <t xml:space="preserve">Comisión de pago fija por pedido (hipótesis)</t>
  </si>
  <si>
    <t xml:space="preserve">Umbral mínimo de contribución antes de marketing</t>
  </si>
  <si>
    <t xml:space="preserve">Estudio §9.2 (7–8 €).</t>
  </si>
  <si>
    <t xml:space="preserve">Capital disponible para pedidos y reembolsos</t>
  </si>
  <si>
    <t xml:space="preserve">Declarado por el titular.</t>
  </si>
  <si>
    <t xml:space="preserve">CAC de referencia (hipótesis)</t>
  </si>
  <si>
    <t xml:space="preserve">Estudio §9.2.</t>
  </si>
  <si>
    <t xml:space="preserve">Días naturales hasta cobrar la liquidación (hipótesis)</t>
  </si>
  <si>
    <t xml:space="preserve">S27: mínimo 3 días hábiles + banco.</t>
  </si>
  <si>
    <t xml:space="preserve">Contribución por pedido (antes de costes fijos e impuestos directos)</t>
  </si>
  <si>
    <t xml:space="preserve">Columnas B–F: hipótesis de los informes. Columna G: REAL (solo datos confirmados).</t>
  </si>
  <si>
    <t xml:space="preserve">Concepto</t>
  </si>
  <si>
    <t xml:space="preserve">1. Desfavorable</t>
  </si>
  <si>
    <t xml:space="preserve">2. Base</t>
  </si>
  <si>
    <t xml:space="preserve">3. Mejor logística</t>
  </si>
  <si>
    <t xml:space="preserve">4. PVP superior</t>
  </si>
  <si>
    <t xml:space="preserve">5. Ejemplo Maestro</t>
  </si>
  <si>
    <t xml:space="preserve">REAL (confirmado)</t>
  </si>
  <si>
    <t xml:space="preserve">PVP con IVA</t>
  </si>
  <si>
    <t xml:space="preserve">Tipo de columna</t>
  </si>
  <si>
    <t xml:space="preserve">HIPÓTESIS</t>
  </si>
  <si>
    <t xml:space="preserve">REAL</t>
  </si>
  <si>
    <t xml:space="preserve">Coste agregado (solo hipótesis; no se admite en REAL)</t>
  </si>
  <si>
    <t xml:space="preserve">n/a</t>
  </si>
  <si>
    <t xml:space="preserve">  · Producto</t>
  </si>
  <si>
    <t xml:space="preserve">  · Envío a domicilio</t>
  </si>
  <si>
    <t xml:space="preserve">  · Aranceles / derecho 3 € / importación</t>
  </si>
  <si>
    <t xml:space="preserve">  · Preparación y embalaje</t>
  </si>
  <si>
    <t xml:space="preserve">  · Otros costes variables no recuperables</t>
  </si>
  <si>
    <t xml:space="preserve">Partidas del desglose rellenadas (de 5)</t>
  </si>
  <si>
    <t xml:space="preserve">Estado del coste</t>
  </si>
  <si>
    <t xml:space="preserve">Coste completo usado</t>
  </si>
  <si>
    <t xml:space="preserve">Reserva incidencias y soporte por pedido</t>
  </si>
  <si>
    <t xml:space="preserve">Coste esperado de devoluciones por pedido</t>
  </si>
  <si>
    <t xml:space="preserve">Coste de contenido / colaboradores por venta</t>
  </si>
  <si>
    <t xml:space="preserve">Comisión real % (vacío = usar supuesto)</t>
  </si>
  <si>
    <t xml:space="preserve">PVP sin IVA</t>
  </si>
  <si>
    <t xml:space="preserve">Comisión de pago</t>
  </si>
  <si>
    <t xml:space="preserve">Contribución por pedido</t>
  </si>
  <si>
    <t xml:space="preserve">Veredicto frente al umbral</t>
  </si>
  <si>
    <t xml:space="preserve">Contribución tras CAC de referencia</t>
  </si>
  <si>
    <t xml:space="preserve">Pedidos financiables con el capital (coste completo)</t>
  </si>
  <si>
    <t xml:space="preserve">Notas</t>
  </si>
  <si>
    <t xml:space="preserve">Fila 13: el fallo de la V1 era IF(SUM(G6:G10)&gt;0,SUM,agregado): con 1 de 5 partidas tomaba ese importe como coste total e inflaba el margen. Ahora 1–4 partidas = DATOS INCOMPLETOS.</t>
  </si>
  <si>
    <t xml:space="preserve">Filas 16–17 de las hipótesis valen 0 para reproducir los informes. En REAL deben rellenarse (0 solo si es real).</t>
  </si>
  <si>
    <t xml:space="preserve">Ningún veredicto dice «rentable»: superar el umbral antes de marketing no implica beneficio (ver fila 23).</t>
  </si>
  <si>
    <t xml:space="preserve">Test de precio con el mismo coste (hipótesis — no son precios decididos)</t>
  </si>
  <si>
    <t xml:space="preserve">Coste usado:</t>
  </si>
  <si>
    <t xml:space="preserve">Reserva incidencias:</t>
  </si>
  <si>
    <t xml:space="preserve">PVP con IVA (a probar)</t>
  </si>
  <si>
    <t xml:space="preserve">Comisión</t>
  </si>
  <si>
    <t xml:space="preserve">Contribución</t>
  </si>
  <si>
    <t xml:space="preserve">Veredicto</t>
  </si>
  <si>
    <t xml:space="preserve">Tras CAC ref.</t>
  </si>
  <si>
    <t xml:space="preserve">Capital necesario antes de cobrar las liquidaciones</t>
  </si>
  <si>
    <t xml:space="preserve">Nota</t>
  </si>
  <si>
    <t xml:space="preserve">Pedidos por día (hipótesis)</t>
  </si>
  <si>
    <t xml:space="preserve">Editar: escenario de ventas a cubrir</t>
  </si>
  <si>
    <t xml:space="preserve">Días hasta cobrar</t>
  </si>
  <si>
    <t xml:space="preserve">Coste por pedido pagado al proveedor</t>
  </si>
  <si>
    <t xml:space="preserve">Colchón para reembolsos (pedidos equivalentes)</t>
  </si>
  <si>
    <t xml:space="preserve">Hipótesis</t>
  </si>
  <si>
    <t xml:space="preserve">Capital necesario</t>
  </si>
  <si>
    <t xml:space="preserve">Capital disponible</t>
  </si>
  <si>
    <t xml:space="preserve">¿Suficiente?</t>
  </si>
  <si>
    <t xml:space="preserve">Pedidos/día sostenibles sin capital extra</t>
  </si>
  <si>
    <t xml:space="preserve">Panel semanal (rellenar con datos de Shopify Analytics; sin datos = vacío)</t>
  </si>
  <si>
    <t xml:space="preserve">Semana</t>
  </si>
  <si>
    <t xml:space="preserve">Sesiones</t>
  </si>
  <si>
    <t xml:space="preserve">Sesiones con vista de producto</t>
  </si>
  <si>
    <t xml:space="preserve">Sesiones con ATC</t>
  </si>
  <si>
    <t xml:space="preserve">Sesiones con checkout</t>
  </si>
  <si>
    <t xml:space="preserve">Pedidos</t>
  </si>
  <si>
    <t xml:space="preserve">Ventas brutas (€)</t>
  </si>
  <si>
    <t xml:space="preserve">Gasto de captación (€)</t>
  </si>
  <si>
    <t xml:space="preserve">Coste de contenido (€)</t>
  </si>
  <si>
    <t xml:space="preserve">Devoluciones (nº)</t>
  </si>
  <si>
    <t xml:space="preserve">Conversión tienda</t>
  </si>
  <si>
    <t xml:space="preserve">ATC / vistas producto</t>
  </si>
  <si>
    <t xml:space="preserve">Checkout / ATC</t>
  </si>
  <si>
    <t xml:space="preserve">AOV</t>
  </si>
  <si>
    <t xml:space="preserve">CAC</t>
  </si>
  <si>
    <t xml:space="preserve">Contribución estimada</t>
  </si>
  <si>
    <t xml:space="preserve">Tasa devolución</t>
  </si>
  <si>
    <t xml:space="preserve">Definiciones: conversión = pedidos/sesiones · ATC = sesiones con añadir al carrito / sesiones con vista de producto · Checkout = sesiones con checkout / sesiones con ATC · AOV = ventas brutas / pedidos · CAC = (captación + contenido) / pedidos. Las visualizaciones en redes NO son sesiones.</t>
  </si>
  <si>
    <t xml:space="preserve">Sensibilidad de adquisición (hipótesis de planificación)</t>
  </si>
  <si>
    <t xml:space="preserve">Contribución usada:</t>
  </si>
  <si>
    <t xml:space="preserve">Sesiones cualificadas/mes</t>
  </si>
  <si>
    <t xml:space="preserve">Conversión hipotética</t>
  </si>
  <si>
    <t xml:space="preserve">Pedidos teóricos</t>
  </si>
  <si>
    <t xml:space="preserve">Contribución total</t>
  </si>
  <si>
    <t xml:space="preserve">Capital a adelantar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</si>
</sst>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.00&quot; €&quot;;\(#,##0.00&quot; €)&quot;;\-"/>
    <numFmt numFmtId="167" formatCode="0"/>
    <numFmt numFmtId="168" formatCode="0.0"/>
    <numFmt numFmtId="169" formatCode="@"/>
    <numFmt numFmtId="170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2B37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F4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B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14</v>
      </c>
      <c r="B1" s="3"/>
      <c r="C1" s="3"/>
    </row>
    <row r="2" customFormat="false" ht="15" hidden="false" customHeight="false" outlineLevel="0" collapsed="false">
      <c r="A2" s="3"/>
      <c r="B2" s="3"/>
      <c r="C2" s="3"/>
    </row>
    <row r="3" customFormat="false" ht="33.75" hidden="false" customHeight="true" outlineLevel="0" collapsed="false">
      <c r="A3" s="5" t="s">
        <v>15</v>
      </c>
      <c r="B3" s="5" t="s">
        <v>16</v>
      </c>
      <c r="C3" s="5" t="s">
        <v>17</v>
      </c>
    </row>
    <row r="4" customFormat="false" ht="15" hidden="false" customHeight="false" outlineLevel="0" collapsed="false">
      <c r="A4" s="4" t="s">
        <v>18</v>
      </c>
      <c r="B4" s="6" t="n">
        <v>0.21</v>
      </c>
      <c r="C4" s="4" t="s">
        <v>19</v>
      </c>
    </row>
    <row r="5" customFormat="false" ht="15" hidden="false" customHeight="false" outlineLevel="0" collapsed="false">
      <c r="A5" s="4" t="s">
        <v>20</v>
      </c>
      <c r="B5" s="6" t="n">
        <v>0.029</v>
      </c>
      <c r="C5" s="4" t="s">
        <v>21</v>
      </c>
    </row>
    <row r="6" customFormat="false" ht="15" hidden="false" customHeight="false" outlineLevel="0" collapsed="false">
      <c r="A6" s="4" t="s">
        <v>22</v>
      </c>
      <c r="B6" s="7" t="n">
        <v>0.3</v>
      </c>
      <c r="C6" s="4" t="s">
        <v>21</v>
      </c>
    </row>
    <row r="7" customFormat="false" ht="15" hidden="false" customHeight="false" outlineLevel="0" collapsed="false">
      <c r="A7" s="4" t="s">
        <v>23</v>
      </c>
      <c r="B7" s="7" t="n">
        <v>7</v>
      </c>
      <c r="C7" s="4" t="s">
        <v>24</v>
      </c>
    </row>
    <row r="8" customFormat="false" ht="15" hidden="false" customHeight="false" outlineLevel="0" collapsed="false">
      <c r="A8" s="4" t="s">
        <v>25</v>
      </c>
      <c r="B8" s="7" t="n">
        <v>50</v>
      </c>
      <c r="C8" s="4" t="s">
        <v>26</v>
      </c>
    </row>
    <row r="9" customFormat="false" ht="15" hidden="false" customHeight="false" outlineLevel="0" collapsed="false">
      <c r="A9" s="4" t="s">
        <v>27</v>
      </c>
      <c r="B9" s="7" t="n">
        <v>10</v>
      </c>
      <c r="C9" s="4" t="s">
        <v>28</v>
      </c>
    </row>
    <row r="10" customFormat="false" ht="15" hidden="false" customHeight="false" outlineLevel="0" collapsed="false">
      <c r="A10" s="4" t="s">
        <v>29</v>
      </c>
      <c r="B10" s="8" t="n">
        <v>5</v>
      </c>
      <c r="C10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1" t="s">
        <v>31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2" t="s">
        <v>32</v>
      </c>
      <c r="B2" s="3"/>
      <c r="C2" s="3"/>
      <c r="D2" s="3"/>
      <c r="E2" s="3"/>
      <c r="F2" s="3"/>
      <c r="G2" s="3"/>
    </row>
    <row r="3" customFormat="false" ht="33.75" hidden="false" customHeight="true" outlineLevel="0" collapsed="false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</row>
    <row r="4" customFormat="false" ht="15" hidden="false" customHeight="false" outlineLevel="0" collapsed="false">
      <c r="A4" s="4" t="s">
        <v>40</v>
      </c>
      <c r="B4" s="7" t="n">
        <v>24.9</v>
      </c>
      <c r="C4" s="7" t="n">
        <v>29.9</v>
      </c>
      <c r="D4" s="7" t="n">
        <v>29.9</v>
      </c>
      <c r="E4" s="7" t="n">
        <v>34.9</v>
      </c>
      <c r="F4" s="7" t="n">
        <v>29.9</v>
      </c>
      <c r="G4" s="7"/>
    </row>
    <row r="5" customFormat="false" ht="15" hidden="false" customHeight="false" outlineLevel="0" collapsed="false">
      <c r="A5" s="4" t="s">
        <v>41</v>
      </c>
      <c r="B5" s="4" t="s">
        <v>42</v>
      </c>
      <c r="C5" s="4" t="s">
        <v>42</v>
      </c>
      <c r="D5" s="4" t="s">
        <v>42</v>
      </c>
      <c r="E5" s="4" t="s">
        <v>42</v>
      </c>
      <c r="F5" s="4" t="s">
        <v>42</v>
      </c>
      <c r="G5" s="2" t="s">
        <v>43</v>
      </c>
    </row>
    <row r="6" customFormat="false" ht="15" hidden="false" customHeight="false" outlineLevel="0" collapsed="false">
      <c r="A6" s="4" t="s">
        <v>44</v>
      </c>
      <c r="B6" s="7" t="n">
        <v>16</v>
      </c>
      <c r="C6" s="7" t="n">
        <v>14</v>
      </c>
      <c r="D6" s="7" t="n">
        <v>10</v>
      </c>
      <c r="E6" s="7" t="n">
        <v>14</v>
      </c>
      <c r="F6" s="7" t="n">
        <v>14.4</v>
      </c>
      <c r="G6" s="9" t="s">
        <v>45</v>
      </c>
    </row>
    <row r="7" customFormat="false" ht="15" hidden="false" customHeight="false" outlineLevel="0" collapsed="false">
      <c r="A7" s="4" t="s">
        <v>46</v>
      </c>
      <c r="B7" s="7"/>
      <c r="C7" s="7"/>
      <c r="D7" s="7"/>
      <c r="E7" s="7"/>
      <c r="F7" s="7"/>
      <c r="G7" s="7"/>
    </row>
    <row r="8" customFormat="false" ht="15" hidden="false" customHeight="false" outlineLevel="0" collapsed="false">
      <c r="A8" s="4" t="s">
        <v>47</v>
      </c>
      <c r="B8" s="7"/>
      <c r="C8" s="7"/>
      <c r="D8" s="7"/>
      <c r="E8" s="7"/>
      <c r="F8" s="7"/>
      <c r="G8" s="7"/>
    </row>
    <row r="9" customFormat="false" ht="15" hidden="false" customHeight="false" outlineLevel="0" collapsed="false">
      <c r="A9" s="4" t="s">
        <v>48</v>
      </c>
      <c r="B9" s="7"/>
      <c r="C9" s="7"/>
      <c r="D9" s="7"/>
      <c r="E9" s="7"/>
      <c r="F9" s="7"/>
      <c r="G9" s="7"/>
    </row>
    <row r="10" customFormat="false" ht="15" hidden="false" customHeight="false" outlineLevel="0" collapsed="false">
      <c r="A10" s="4" t="s">
        <v>49</v>
      </c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4" t="s">
        <v>50</v>
      </c>
      <c r="B11" s="7"/>
      <c r="C11" s="7"/>
      <c r="D11" s="7"/>
      <c r="E11" s="7"/>
      <c r="F11" s="7"/>
      <c r="G11" s="7"/>
    </row>
    <row r="12" customFormat="false" ht="15" hidden="false" customHeight="false" outlineLevel="0" collapsed="false">
      <c r="A12" s="4" t="s">
        <v>51</v>
      </c>
      <c r="B12" s="10" t="n">
        <f aca="false">COUNT(B7:B11)</f>
        <v>0</v>
      </c>
      <c r="C12" s="10" t="n">
        <f aca="false">COUNT(C7:C11)</f>
        <v>0</v>
      </c>
      <c r="D12" s="10" t="n">
        <f aca="false">COUNT(D7:D11)</f>
        <v>0</v>
      </c>
      <c r="E12" s="10" t="n">
        <f aca="false">COUNT(E7:E11)</f>
        <v>0</v>
      </c>
      <c r="F12" s="10" t="n">
        <f aca="false">COUNT(F7:F11)</f>
        <v>0</v>
      </c>
      <c r="G12" s="10" t="n">
        <f aca="false">COUNT(G7:G11)</f>
        <v>0</v>
      </c>
    </row>
    <row r="13" customFormat="false" ht="15" hidden="false" customHeight="false" outlineLevel="0" collapsed="false">
      <c r="A13" s="2" t="s">
        <v>52</v>
      </c>
      <c r="B13" s="3" t="str">
        <f aca="false">IF(B12=5,"DESGLOSE COMPLETO",IF(AND(B12=0,B6&lt;&gt;""),"HIPÓTESIS (agregado)","DATOS INCOMPLETOS"))</f>
        <v>HIPÓTESIS (agregado)</v>
      </c>
      <c r="C13" s="3" t="str">
        <f aca="false">IF(C12=5,"DESGLOSE COMPLETO",IF(AND(C12=0,C6&lt;&gt;""),"HIPÓTESIS (agregado)","DATOS INCOMPLETOS"))</f>
        <v>HIPÓTESIS (agregado)</v>
      </c>
      <c r="D13" s="3" t="str">
        <f aca="false">IF(D12=5,"DESGLOSE COMPLETO",IF(AND(D12=0,D6&lt;&gt;""),"HIPÓTESIS (agregado)","DATOS INCOMPLETOS"))</f>
        <v>HIPÓTESIS (agregado)</v>
      </c>
      <c r="E13" s="3" t="str">
        <f aca="false">IF(E12=5,"DESGLOSE COMPLETO",IF(AND(E12=0,E6&lt;&gt;""),"HIPÓTESIS (agregado)","DATOS INCOMPLETOS"))</f>
        <v>HIPÓTESIS (agregado)</v>
      </c>
      <c r="F13" s="3" t="str">
        <f aca="false">IF(F12=5,"DESGLOSE COMPLETO",IF(AND(F12=0,F6&lt;&gt;""),"HIPÓTESIS (agregado)","DATOS INCOMPLETOS"))</f>
        <v>HIPÓTESIS (agregado)</v>
      </c>
      <c r="G13" s="3" t="str">
        <f aca="false">IF(OR(G4="",G12&lt;5,G15="",G16="",G17=""),"DATOS INCOMPLETOS","COMPLETO")</f>
        <v>DATOS INCOMPLETOS</v>
      </c>
    </row>
    <row r="14" customFormat="false" ht="15" hidden="false" customHeight="false" outlineLevel="0" collapsed="false">
      <c r="A14" s="2" t="s">
        <v>53</v>
      </c>
      <c r="B14" s="11" t="n">
        <f aca="false">IF(B13="DATOS INCOMPLETOS","—",IF(B12=5,SUM(B7:B11),B6))</f>
        <v>16</v>
      </c>
      <c r="C14" s="11" t="n">
        <f aca="false">IF(C13="DATOS INCOMPLETOS","—",IF(C12=5,SUM(C7:C11),C6))</f>
        <v>14</v>
      </c>
      <c r="D14" s="11" t="n">
        <f aca="false">IF(D13="DATOS INCOMPLETOS","—",IF(D12=5,SUM(D7:D11),D6))</f>
        <v>10</v>
      </c>
      <c r="E14" s="11" t="n">
        <f aca="false">IF(E13="DATOS INCOMPLETOS","—",IF(E12=5,SUM(E7:E11),E6))</f>
        <v>14</v>
      </c>
      <c r="F14" s="11" t="n">
        <f aca="false">IF(F13="DATOS INCOMPLETOS","—",IF(F12=5,SUM(F7:F11),F6))</f>
        <v>14.4</v>
      </c>
      <c r="G14" s="11" t="str">
        <f aca="false">IF(G13="DATOS INCOMPLETOS","—",IF(G12=5,SUM(G7:G11),G6))</f>
        <v>—</v>
      </c>
    </row>
    <row r="15" customFormat="false" ht="15" hidden="false" customHeight="false" outlineLevel="0" collapsed="false">
      <c r="A15" s="4" t="s">
        <v>54</v>
      </c>
      <c r="B15" s="7" t="n">
        <v>3</v>
      </c>
      <c r="C15" s="7" t="n">
        <v>2.5</v>
      </c>
      <c r="D15" s="7" t="n">
        <v>2</v>
      </c>
      <c r="E15" s="7" t="n">
        <v>2.5</v>
      </c>
      <c r="F15" s="7" t="n">
        <v>2</v>
      </c>
      <c r="G15" s="7"/>
    </row>
    <row r="16" customFormat="false" ht="15" hidden="false" customHeight="false" outlineLevel="0" collapsed="false">
      <c r="A16" s="4" t="s">
        <v>55</v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/>
    </row>
    <row r="17" customFormat="false" ht="15" hidden="false" customHeight="false" outlineLevel="0" collapsed="false">
      <c r="A17" s="4" t="s">
        <v>56</v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/>
    </row>
    <row r="18" customFormat="false" ht="15" hidden="false" customHeight="false" outlineLevel="0" collapsed="false">
      <c r="A18" s="4" t="s">
        <v>57</v>
      </c>
      <c r="B18" s="6"/>
      <c r="C18" s="6"/>
      <c r="D18" s="6"/>
      <c r="E18" s="6"/>
      <c r="F18" s="6"/>
      <c r="G18" s="6"/>
    </row>
    <row r="19" customFormat="false" ht="15" hidden="false" customHeight="false" outlineLevel="0" collapsed="false">
      <c r="A19" s="4" t="s">
        <v>58</v>
      </c>
      <c r="B19" s="11" t="n">
        <f aca="false">IF(B4="","—",B4/(1+Supuestos!$B$4))</f>
        <v>20.5785123966942</v>
      </c>
      <c r="C19" s="11" t="n">
        <f aca="false">IF(C4="","—",C4/(1+Supuestos!$B$4))</f>
        <v>24.7107438016529</v>
      </c>
      <c r="D19" s="11" t="n">
        <f aca="false">IF(D4="","—",D4/(1+Supuestos!$B$4))</f>
        <v>24.7107438016529</v>
      </c>
      <c r="E19" s="11" t="n">
        <f aca="false">IF(E4="","—",E4/(1+Supuestos!$B$4))</f>
        <v>28.8429752066116</v>
      </c>
      <c r="F19" s="11" t="n">
        <f aca="false">IF(F4="","—",F4/(1+Supuestos!$B$4))</f>
        <v>24.7107438016529</v>
      </c>
      <c r="G19" s="11" t="str">
        <f aca="false">IF(G4="","—",G4/(1+Supuestos!$B$4))</f>
        <v>—</v>
      </c>
    </row>
    <row r="20" customFormat="false" ht="15" hidden="false" customHeight="false" outlineLevel="0" collapsed="false">
      <c r="A20" s="4" t="s">
        <v>59</v>
      </c>
      <c r="B20" s="11" t="n">
        <f aca="false">IF(B4="","—",B4*IF(B18="",Supuestos!$B$5,B18)+Supuestos!$B$6)</f>
        <v>1.0221</v>
      </c>
      <c r="C20" s="11" t="n">
        <f aca="false">IF(C4="","—",C4*IF(C18="",Supuestos!$B$5,C18)+Supuestos!$B$6)</f>
        <v>1.1671</v>
      </c>
      <c r="D20" s="11" t="n">
        <f aca="false">IF(D4="","—",D4*IF(D18="",Supuestos!$B$5,D18)+Supuestos!$B$6)</f>
        <v>1.1671</v>
      </c>
      <c r="E20" s="11" t="n">
        <f aca="false">IF(E4="","—",E4*IF(E18="",Supuestos!$B$5,E18)+Supuestos!$B$6)</f>
        <v>1.3121</v>
      </c>
      <c r="F20" s="11" t="n">
        <f aca="false">IF(F4="","—",F4*IF(F18="",Supuestos!$B$5,F18)+Supuestos!$B$6)</f>
        <v>1.1671</v>
      </c>
      <c r="G20" s="11" t="str">
        <f aca="false">IF(G4="","—",G4*IF(G18="",Supuestos!$B$5,G18)+Supuestos!$B$6)</f>
        <v>—</v>
      </c>
    </row>
    <row r="21" customFormat="false" ht="15" hidden="false" customHeight="false" outlineLevel="0" collapsed="false">
      <c r="A21" s="2" t="s">
        <v>60</v>
      </c>
      <c r="B21" s="12" t="n">
        <f aca="false">IF(B13&lt;&gt;"DATOS INCOMPLETOS",B19-B14-B15-B16-B17-B20,"DATOS INCOMPLETOS")</f>
        <v>0.556412396694215</v>
      </c>
      <c r="C21" s="12" t="n">
        <f aca="false">IF(C13&lt;&gt;"DATOS INCOMPLETOS",C19-C14-C15-C16-C17-C20,"DATOS INCOMPLETOS")</f>
        <v>7.04364380165289</v>
      </c>
      <c r="D21" s="12" t="n">
        <f aca="false">IF(D13&lt;&gt;"DATOS INCOMPLETOS",D19-D14-D15-D16-D17-D20,"DATOS INCOMPLETOS")</f>
        <v>11.5436438016529</v>
      </c>
      <c r="E21" s="12" t="n">
        <f aca="false">IF(E13&lt;&gt;"DATOS INCOMPLETOS",E19-E14-E15-E16-E17-E20,"DATOS INCOMPLETOS")</f>
        <v>11.0308752066116</v>
      </c>
      <c r="F21" s="12" t="n">
        <f aca="false">IF(F13&lt;&gt;"DATOS INCOMPLETOS",F19-F14-F15-F16-F17-F20,"DATOS INCOMPLETOS")</f>
        <v>7.14364380165289</v>
      </c>
      <c r="G21" s="12" t="str">
        <f aca="false">IF(G13&lt;&gt;"DATOS INCOMPLETOS",G19-G14-G15-G16-G17-G20,"DATOS INCOMPLETOS")</f>
        <v>DATOS INCOMPLETOS</v>
      </c>
    </row>
    <row r="22" customFormat="false" ht="15" hidden="false" customHeight="false" outlineLevel="0" collapsed="false">
      <c r="A22" s="2" t="s">
        <v>61</v>
      </c>
      <c r="B22" s="2" t="str">
        <f aca="false">IF(B13&lt;&gt;"DATOS INCOMPLETOS",IF(B21&gt;=Supuestos!$B$7,"Supera umbral (hipótesis)","No supera (hipótesis)"),"DATOS INCOMPLETOS")</f>
        <v>No supera (hipótesis)</v>
      </c>
      <c r="C22" s="2" t="str">
        <f aca="false">IF(C13&lt;&gt;"DATOS INCOMPLETOS",IF(C21&gt;=Supuestos!$B$7,"Supera umbral (hipótesis)","No supera (hipótesis)"),"DATOS INCOMPLETOS")</f>
        <v>Supera umbral (hipótesis)</v>
      </c>
      <c r="D22" s="2" t="str">
        <f aca="false">IF(D13&lt;&gt;"DATOS INCOMPLETOS",IF(D21&gt;=Supuestos!$B$7,"Supera umbral (hipótesis)","No supera (hipótesis)"),"DATOS INCOMPLETOS")</f>
        <v>Supera umbral (hipótesis)</v>
      </c>
      <c r="E22" s="2" t="str">
        <f aca="false">IF(E13&lt;&gt;"DATOS INCOMPLETOS",IF(E21&gt;=Supuestos!$B$7,"Supera umbral (hipótesis)","No supera (hipótesis)"),"DATOS INCOMPLETOS")</f>
        <v>Supera umbral (hipótesis)</v>
      </c>
      <c r="F22" s="2" t="str">
        <f aca="false">IF(F13&lt;&gt;"DATOS INCOMPLETOS",IF(F21&gt;=Supuestos!$B$7,"Supera umbral (hipótesis)","No supera (hipótesis)"),"DATOS INCOMPLETOS")</f>
        <v>Supera umbral (hipótesis)</v>
      </c>
      <c r="G22" s="2" t="str">
        <f aca="false">IF(G13&lt;&gt;"DATOS INCOMPLETOS",IF(G21&gt;=Supuestos!$B$7,"Supera umbral","No supera"),"DATOS INCOMPLETOS")</f>
        <v>DATOS INCOMPLETOS</v>
      </c>
    </row>
    <row r="23" customFormat="false" ht="15" hidden="false" customHeight="false" outlineLevel="0" collapsed="false">
      <c r="A23" s="4" t="s">
        <v>62</v>
      </c>
      <c r="B23" s="11" t="n">
        <f aca="false">IF(B13&lt;&gt;"DATOS INCOMPLETOS",B21-Supuestos!$B$9,"DATOS INCOMPLETOS")</f>
        <v>-9.44358760330579</v>
      </c>
      <c r="C23" s="11" t="n">
        <f aca="false">IF(C13&lt;&gt;"DATOS INCOMPLETOS",C21-Supuestos!$B$9,"DATOS INCOMPLETOS")</f>
        <v>-2.95635619834711</v>
      </c>
      <c r="D23" s="11" t="n">
        <f aca="false">IF(D13&lt;&gt;"DATOS INCOMPLETOS",D21-Supuestos!$B$9,"DATOS INCOMPLETOS")</f>
        <v>1.54364380165289</v>
      </c>
      <c r="E23" s="11" t="n">
        <f aca="false">IF(E13&lt;&gt;"DATOS INCOMPLETOS",E21-Supuestos!$B$9,"DATOS INCOMPLETOS")</f>
        <v>1.03087520661157</v>
      </c>
      <c r="F23" s="11" t="n">
        <f aca="false">IF(F13&lt;&gt;"DATOS INCOMPLETOS",F21-Supuestos!$B$9,"DATOS INCOMPLETOS")</f>
        <v>-2.85635619834711</v>
      </c>
      <c r="G23" s="11" t="str">
        <f aca="false">IF(G13&lt;&gt;"DATOS INCOMPLETOS",G21-Supuestos!$B$9,"DATOS INCOMPLETOS")</f>
        <v>DATOS INCOMPLETOS</v>
      </c>
    </row>
    <row r="24" customFormat="false" ht="15" hidden="false" customHeight="false" outlineLevel="0" collapsed="false">
      <c r="A24" s="4" t="s">
        <v>63</v>
      </c>
      <c r="B24" s="10" t="n">
        <f aca="false">IF(B13&lt;&gt;"DATOS INCOMPLETOS",INT(Supuestos!$B$8/B14),"DATOS INCOMPLETOS")</f>
        <v>3</v>
      </c>
      <c r="C24" s="10" t="n">
        <f aca="false">IF(C13&lt;&gt;"DATOS INCOMPLETOS",INT(Supuestos!$B$8/C14),"DATOS INCOMPLETOS")</f>
        <v>3</v>
      </c>
      <c r="D24" s="10" t="n">
        <f aca="false">IF(D13&lt;&gt;"DATOS INCOMPLETOS",INT(Supuestos!$B$8/D14),"DATOS INCOMPLETOS")</f>
        <v>5</v>
      </c>
      <c r="E24" s="10" t="n">
        <f aca="false">IF(E13&lt;&gt;"DATOS INCOMPLETOS",INT(Supuestos!$B$8/E14),"DATOS INCOMPLETOS")</f>
        <v>3</v>
      </c>
      <c r="F24" s="10" t="n">
        <f aca="false">IF(F13&lt;&gt;"DATOS INCOMPLETOS",INT(Supuestos!$B$8/F14),"DATOS INCOMPLETOS")</f>
        <v>3</v>
      </c>
      <c r="G24" s="10" t="str">
        <f aca="false">IF(G13&lt;&gt;"DATOS INCOMPLETOS",INT(Supuestos!$B$8/G14),"DATOS INCOMPLETOS")</f>
        <v>DATOS INCOMPLETOS</v>
      </c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</row>
    <row r="26" customFormat="false" ht="15" hidden="false" customHeight="false" outlineLevel="0" collapsed="false">
      <c r="A26" s="2" t="s">
        <v>64</v>
      </c>
      <c r="B26" s="3"/>
      <c r="C26" s="3"/>
      <c r="D26" s="3"/>
      <c r="E26" s="3"/>
      <c r="F26" s="3"/>
      <c r="G26" s="3"/>
    </row>
    <row r="27" customFormat="false" ht="15" hidden="false" customHeight="false" outlineLevel="0" collapsed="false">
      <c r="A27" s="4" t="s">
        <v>65</v>
      </c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4" t="s">
        <v>66</v>
      </c>
      <c r="B28" s="3"/>
      <c r="C28" s="3"/>
      <c r="D28" s="3"/>
      <c r="E28" s="3"/>
      <c r="F28" s="3"/>
      <c r="G28" s="3"/>
    </row>
    <row r="29" customFormat="false" ht="15" hidden="false" customHeight="false" outlineLevel="0" collapsed="false">
      <c r="A29" s="4" t="s">
        <v>67</v>
      </c>
      <c r="B29" s="3"/>
      <c r="C29" s="3"/>
      <c r="D29" s="3"/>
      <c r="E29" s="3"/>
      <c r="F29" s="3"/>
      <c r="G29" s="3"/>
    </row>
  </sheetData>
  <conditionalFormatting sqref="B13:G24">
    <cfRule type="expression" priority="2" aboveAverage="0" equalAverage="0" bottom="0" percent="0" rank="0" text="" dxfId="0">
      <formula>B13="DATOS INCOMPLETOS"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68</v>
      </c>
      <c r="B1" s="3"/>
      <c r="C1" s="3"/>
      <c r="D1" s="3"/>
      <c r="E1" s="3"/>
      <c r="F1" s="3"/>
    </row>
    <row r="2" customFormat="false" ht="15" hidden="false" customHeight="false" outlineLevel="0" collapsed="false">
      <c r="A2" s="3" t="s">
        <v>69</v>
      </c>
      <c r="B2" s="13" t="n">
        <f aca="false">IF(Escenarios!G13="COMPLETO",Escenarios!G14,Escenarios!C14)</f>
        <v>14</v>
      </c>
      <c r="C2" s="14" t="str">
        <f aca="false">IF(Escenarios!G13="COMPLETO","REAL","HIPÓTESIS: coste del escenario Base")</f>
        <v>HIPÓTESIS: coste del escenario Base</v>
      </c>
      <c r="D2" s="3"/>
      <c r="E2" s="3"/>
      <c r="F2" s="3"/>
    </row>
    <row r="3" customFormat="false" ht="15" hidden="false" customHeight="false" outlineLevel="0" collapsed="false">
      <c r="A3" s="3" t="s">
        <v>70</v>
      </c>
      <c r="B3" s="13" t="n">
        <f aca="false">IF(Escenarios!G13="COMPLETO",Escenarios!G15,Escenarios!C15)</f>
        <v>2.5</v>
      </c>
      <c r="C3" s="3"/>
      <c r="D3" s="3"/>
      <c r="E3" s="3"/>
      <c r="F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</row>
    <row r="5" customFormat="false" ht="33.75" hidden="false" customHeight="true" outlineLevel="0" collapsed="false">
      <c r="A5" s="5" t="s">
        <v>71</v>
      </c>
      <c r="B5" s="5" t="s">
        <v>58</v>
      </c>
      <c r="C5" s="5" t="s">
        <v>72</v>
      </c>
      <c r="D5" s="5" t="s">
        <v>73</v>
      </c>
      <c r="E5" s="5" t="s">
        <v>74</v>
      </c>
      <c r="F5" s="5" t="s">
        <v>75</v>
      </c>
    </row>
    <row r="6" customFormat="false" ht="15" hidden="false" customHeight="false" outlineLevel="0" collapsed="false">
      <c r="A6" s="7" t="n">
        <v>24.9</v>
      </c>
      <c r="B6" s="11" t="n">
        <f aca="false">A6/(1+Supuestos!$B$4)</f>
        <v>20.5785123966942</v>
      </c>
      <c r="C6" s="11" t="n">
        <f aca="false">A6*Supuestos!$B$5+Supuestos!$B$6</f>
        <v>1.0221</v>
      </c>
      <c r="D6" s="11" t="n">
        <f aca="false">B6-$B$2-$B$3-C6</f>
        <v>3.05641239669422</v>
      </c>
      <c r="E6" s="3" t="str">
        <f aca="false">IF(D6&gt;=Supuestos!$B$7,"Supera umbral","No supera")&amp;IF($C$2="REAL",""," (hipótesis)")</f>
        <v>No supera (hipótesis)</v>
      </c>
      <c r="F6" s="11" t="n">
        <f aca="false">D6-Supuestos!$B$9</f>
        <v>-6.94358760330579</v>
      </c>
    </row>
    <row r="7" customFormat="false" ht="15" hidden="false" customHeight="false" outlineLevel="0" collapsed="false">
      <c r="A7" s="7" t="n">
        <v>29.9</v>
      </c>
      <c r="B7" s="11" t="n">
        <f aca="false">A7/(1+Supuestos!$B$4)</f>
        <v>24.7107438016529</v>
      </c>
      <c r="C7" s="11" t="n">
        <f aca="false">A7*Supuestos!$B$5+Supuestos!$B$6</f>
        <v>1.1671</v>
      </c>
      <c r="D7" s="11" t="n">
        <f aca="false">B7-$B$2-$B$3-C7</f>
        <v>7.04364380165289</v>
      </c>
      <c r="E7" s="3" t="str">
        <f aca="false">IF(D7&gt;=Supuestos!$B$7,"Supera umbral","No supera")&amp;IF($C$2="REAL",""," (hipótesis)")</f>
        <v>Supera umbral (hipótesis)</v>
      </c>
      <c r="F7" s="11" t="n">
        <f aca="false">D7-Supuestos!$B$9</f>
        <v>-2.95635619834711</v>
      </c>
    </row>
    <row r="8" customFormat="false" ht="15" hidden="false" customHeight="false" outlineLevel="0" collapsed="false">
      <c r="A8" s="7" t="n">
        <v>34.9</v>
      </c>
      <c r="B8" s="11" t="n">
        <f aca="false">A8/(1+Supuestos!$B$4)</f>
        <v>28.8429752066116</v>
      </c>
      <c r="C8" s="11" t="n">
        <f aca="false">A8*Supuestos!$B$5+Supuestos!$B$6</f>
        <v>1.3121</v>
      </c>
      <c r="D8" s="11" t="n">
        <f aca="false">B8-$B$2-$B$3-C8</f>
        <v>11.0308752066116</v>
      </c>
      <c r="E8" s="3" t="str">
        <f aca="false">IF(D8&gt;=Supuestos!$B$7,"Supera umbral","No supera")&amp;IF($C$2="REAL",""," (hipótesis)")</f>
        <v>Supera umbral (hipótesis)</v>
      </c>
      <c r="F8" s="11" t="n">
        <f aca="false">D8-Supuestos!$B$9</f>
        <v>1.03087520661157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76</v>
      </c>
      <c r="B1" s="3"/>
      <c r="C1" s="3"/>
    </row>
    <row r="2" customFormat="false" ht="15" hidden="false" customHeight="false" outlineLevel="0" collapsed="false">
      <c r="A2" s="3"/>
      <c r="B2" s="3"/>
      <c r="C2" s="3"/>
    </row>
    <row r="3" customFormat="false" ht="33.75" hidden="false" customHeight="true" outlineLevel="0" collapsed="false">
      <c r="A3" s="5" t="s">
        <v>33</v>
      </c>
      <c r="B3" s="5" t="s">
        <v>16</v>
      </c>
      <c r="C3" s="5" t="s">
        <v>77</v>
      </c>
    </row>
    <row r="4" customFormat="false" ht="15" hidden="false" customHeight="false" outlineLevel="0" collapsed="false">
      <c r="A4" s="3" t="s">
        <v>78</v>
      </c>
      <c r="B4" s="15" t="n">
        <v>1</v>
      </c>
      <c r="C4" s="3" t="s">
        <v>79</v>
      </c>
    </row>
    <row r="5" customFormat="false" ht="15" hidden="false" customHeight="false" outlineLevel="0" collapsed="false">
      <c r="A5" s="3" t="s">
        <v>80</v>
      </c>
      <c r="B5" s="16" t="n">
        <f aca="false">Supuestos!B10</f>
        <v>5</v>
      </c>
      <c r="C5" s="3"/>
    </row>
    <row r="6" customFormat="false" ht="15" hidden="false" customHeight="false" outlineLevel="0" collapsed="false">
      <c r="A6" s="3" t="s">
        <v>81</v>
      </c>
      <c r="B6" s="13" t="n">
        <f aca="false">IF(Escenarios!G13="COMPLETO",Escenarios!G14,Escenarios!C14)</f>
        <v>14</v>
      </c>
      <c r="C6" s="3" t="str">
        <f aca="false">IF(Escenarios!G13="COMPLETO","REAL","HIPÓTESIS (Base)")</f>
        <v>HIPÓTESIS (Base)</v>
      </c>
    </row>
    <row r="7" customFormat="false" ht="15" hidden="false" customHeight="false" outlineLevel="0" collapsed="false">
      <c r="A7" s="3" t="s">
        <v>82</v>
      </c>
      <c r="B7" s="8" t="n">
        <v>2</v>
      </c>
      <c r="C7" s="3" t="s">
        <v>83</v>
      </c>
    </row>
    <row r="8" customFormat="false" ht="15" hidden="false" customHeight="false" outlineLevel="0" collapsed="false">
      <c r="A8" s="2" t="s">
        <v>84</v>
      </c>
      <c r="B8" s="12" t="n">
        <f aca="false">B4*B5*B6+B7*B6</f>
        <v>98</v>
      </c>
      <c r="C8" s="3"/>
    </row>
    <row r="9" customFormat="false" ht="15" hidden="false" customHeight="false" outlineLevel="0" collapsed="false">
      <c r="A9" s="3" t="s">
        <v>85</v>
      </c>
      <c r="B9" s="13" t="n">
        <f aca="false">Supuestos!B8</f>
        <v>50</v>
      </c>
      <c r="C9" s="3"/>
    </row>
    <row r="10" customFormat="false" ht="15" hidden="false" customHeight="false" outlineLevel="0" collapsed="false">
      <c r="A10" s="3" t="s">
        <v>86</v>
      </c>
      <c r="B10" s="2" t="str">
        <f aca="false">IF(B9&gt;=B8,"Sí","INSUFICIENTE")</f>
        <v>INSUFICIENTE</v>
      </c>
      <c r="C10" s="3"/>
    </row>
    <row r="11" customFormat="false" ht="15" hidden="false" customHeight="false" outlineLevel="0" collapsed="false">
      <c r="A11" s="3" t="s">
        <v>87</v>
      </c>
      <c r="B11" s="17" t="n">
        <f aca="false">IF(B5*B6=0,"—",MAX(0,(B9-B7*B6)/(B5*B6)))</f>
        <v>0.314285714285714</v>
      </c>
      <c r="C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7" min="2" style="0" width="14"/>
  </cols>
  <sheetData>
    <row r="1" customFormat="false" ht="17.35" hidden="false" customHeight="false" outlineLevel="0" collapsed="false">
      <c r="A1" s="1" t="s">
        <v>88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33.75" hidden="false" customHeight="true" outlineLevel="0" collapsed="false">
      <c r="A3" s="5" t="s">
        <v>89</v>
      </c>
      <c r="B3" s="5" t="s">
        <v>90</v>
      </c>
      <c r="C3" s="5" t="s">
        <v>91</v>
      </c>
      <c r="D3" s="5" t="s">
        <v>92</v>
      </c>
      <c r="E3" s="5" t="s">
        <v>93</v>
      </c>
      <c r="F3" s="5" t="s">
        <v>94</v>
      </c>
      <c r="G3" s="5" t="s">
        <v>95</v>
      </c>
      <c r="H3" s="5" t="s">
        <v>96</v>
      </c>
      <c r="I3" s="5" t="s">
        <v>97</v>
      </c>
      <c r="J3" s="5" t="s">
        <v>98</v>
      </c>
      <c r="K3" s="5" t="s">
        <v>99</v>
      </c>
      <c r="L3" s="5" t="s">
        <v>100</v>
      </c>
      <c r="M3" s="5" t="s">
        <v>101</v>
      </c>
      <c r="N3" s="5" t="s">
        <v>102</v>
      </c>
      <c r="O3" s="5" t="s">
        <v>103</v>
      </c>
      <c r="P3" s="5" t="s">
        <v>104</v>
      </c>
      <c r="Q3" s="5" t="s">
        <v>105</v>
      </c>
    </row>
    <row r="4" customFormat="false" ht="15" hidden="false" customHeight="false" outlineLevel="0" collapsed="false">
      <c r="A4" s="18"/>
      <c r="B4" s="19"/>
      <c r="C4" s="19"/>
      <c r="D4" s="19"/>
      <c r="E4" s="19"/>
      <c r="F4" s="19"/>
      <c r="G4" s="7"/>
      <c r="H4" s="7"/>
      <c r="I4" s="7"/>
      <c r="J4" s="19"/>
      <c r="K4" s="20" t="str">
        <f aca="false">IF(OR(B4="",B4=0,F4=""),"",F4/B4)</f>
        <v/>
      </c>
      <c r="L4" s="20" t="str">
        <f aca="false">IF(OR(C4="",C4=0,D4=""),"",D4/C4)</f>
        <v/>
      </c>
      <c r="M4" s="20" t="str">
        <f aca="false">IF(OR(D4="",D4=0,E4=""),"",E4/D4)</f>
        <v/>
      </c>
      <c r="N4" s="11" t="str">
        <f aca="false">IF(OR(F4="",F4=0,G4=""),"",G4/F4)</f>
        <v/>
      </c>
      <c r="O4" s="11" t="str">
        <f aca="false">IF(OR(F4="",F4=0,H4=""),"",(H4+IF(I4="",0,I4))/F4)</f>
        <v/>
      </c>
      <c r="P4" s="11" t="str">
        <f aca="false">IF(F4="","",IF(Escenarios!$G$13="COMPLETO",F4*Escenarios!$G$21,"DATOS INCOMPLETOS"))</f>
        <v/>
      </c>
      <c r="Q4" s="20" t="str">
        <f aca="false">IF(OR(F4="",F4=0,J4=""),"",J4/F4)</f>
        <v/>
      </c>
    </row>
    <row r="5" customFormat="false" ht="15" hidden="false" customHeight="false" outlineLevel="0" collapsed="false">
      <c r="A5" s="18"/>
      <c r="B5" s="19"/>
      <c r="C5" s="19"/>
      <c r="D5" s="19"/>
      <c r="E5" s="19"/>
      <c r="F5" s="19"/>
      <c r="G5" s="7"/>
      <c r="H5" s="7"/>
      <c r="I5" s="7"/>
      <c r="J5" s="19"/>
      <c r="K5" s="20" t="str">
        <f aca="false">IF(OR(B5="",B5=0,F5=""),"",F5/B5)</f>
        <v/>
      </c>
      <c r="L5" s="20" t="str">
        <f aca="false">IF(OR(C5="",C5=0,D5=""),"",D5/C5)</f>
        <v/>
      </c>
      <c r="M5" s="20" t="str">
        <f aca="false">IF(OR(D5="",D5=0,E5=""),"",E5/D5)</f>
        <v/>
      </c>
      <c r="N5" s="11" t="str">
        <f aca="false">IF(OR(F5="",F5=0,G5=""),"",G5/F5)</f>
        <v/>
      </c>
      <c r="O5" s="11" t="str">
        <f aca="false">IF(OR(F5="",F5=0,H5=""),"",(H5+IF(I5="",0,I5))/F5)</f>
        <v/>
      </c>
      <c r="P5" s="11" t="str">
        <f aca="false">IF(F5="","",IF(Escenarios!$G$13="COMPLETO",F5*Escenarios!$G$21,"DATOS INCOMPLETOS"))</f>
        <v/>
      </c>
      <c r="Q5" s="20" t="str">
        <f aca="false">IF(OR(F5="",F5=0,J5=""),"",J5/F5)</f>
        <v/>
      </c>
    </row>
    <row r="6" customFormat="false" ht="15" hidden="false" customHeight="false" outlineLevel="0" collapsed="false">
      <c r="A6" s="18"/>
      <c r="B6" s="19"/>
      <c r="C6" s="19"/>
      <c r="D6" s="19"/>
      <c r="E6" s="19"/>
      <c r="F6" s="19"/>
      <c r="G6" s="7"/>
      <c r="H6" s="7"/>
      <c r="I6" s="7"/>
      <c r="J6" s="19"/>
      <c r="K6" s="20" t="str">
        <f aca="false">IF(OR(B6="",B6=0,F6=""),"",F6/B6)</f>
        <v/>
      </c>
      <c r="L6" s="20" t="str">
        <f aca="false">IF(OR(C6="",C6=0,D6=""),"",D6/C6)</f>
        <v/>
      </c>
      <c r="M6" s="20" t="str">
        <f aca="false">IF(OR(D6="",D6=0,E6=""),"",E6/D6)</f>
        <v/>
      </c>
      <c r="N6" s="11" t="str">
        <f aca="false">IF(OR(F6="",F6=0,G6=""),"",G6/F6)</f>
        <v/>
      </c>
      <c r="O6" s="11" t="str">
        <f aca="false">IF(OR(F6="",F6=0,H6=""),"",(H6+IF(I6="",0,I6))/F6)</f>
        <v/>
      </c>
      <c r="P6" s="11" t="str">
        <f aca="false">IF(F6="","",IF(Escenarios!$G$13="COMPLETO",F6*Escenarios!$G$21,"DATOS INCOMPLETOS"))</f>
        <v/>
      </c>
      <c r="Q6" s="20" t="str">
        <f aca="false">IF(OR(F6="",F6=0,J6=""),"",J6/F6)</f>
        <v/>
      </c>
    </row>
    <row r="7" customFormat="false" ht="15" hidden="false" customHeight="false" outlineLevel="0" collapsed="false">
      <c r="A7" s="18"/>
      <c r="B7" s="19"/>
      <c r="C7" s="19"/>
      <c r="D7" s="19"/>
      <c r="E7" s="19"/>
      <c r="F7" s="19"/>
      <c r="G7" s="7"/>
      <c r="H7" s="7"/>
      <c r="I7" s="7"/>
      <c r="J7" s="19"/>
      <c r="K7" s="20" t="str">
        <f aca="false">IF(OR(B7="",B7=0,F7=""),"",F7/B7)</f>
        <v/>
      </c>
      <c r="L7" s="20" t="str">
        <f aca="false">IF(OR(C7="",C7=0,D7=""),"",D7/C7)</f>
        <v/>
      </c>
      <c r="M7" s="20" t="str">
        <f aca="false">IF(OR(D7="",D7=0,E7=""),"",E7/D7)</f>
        <v/>
      </c>
      <c r="N7" s="11" t="str">
        <f aca="false">IF(OR(F7="",F7=0,G7=""),"",G7/F7)</f>
        <v/>
      </c>
      <c r="O7" s="11" t="str">
        <f aca="false">IF(OR(F7="",F7=0,H7=""),"",(H7+IF(I7="",0,I7))/F7)</f>
        <v/>
      </c>
      <c r="P7" s="11" t="str">
        <f aca="false">IF(F7="","",IF(Escenarios!$G$13="COMPLETO",F7*Escenarios!$G$21,"DATOS INCOMPLETOS"))</f>
        <v/>
      </c>
      <c r="Q7" s="20" t="str">
        <f aca="false">IF(OR(F7="",F7=0,J7=""),"",J7/F7)</f>
        <v/>
      </c>
    </row>
    <row r="8" customFormat="false" ht="15" hidden="false" customHeight="false" outlineLevel="0" collapsed="false">
      <c r="A8" s="18"/>
      <c r="B8" s="19"/>
      <c r="C8" s="19"/>
      <c r="D8" s="19"/>
      <c r="E8" s="19"/>
      <c r="F8" s="19"/>
      <c r="G8" s="7"/>
      <c r="H8" s="7"/>
      <c r="I8" s="7"/>
      <c r="J8" s="19"/>
      <c r="K8" s="20" t="str">
        <f aca="false">IF(OR(B8="",B8=0,F8=""),"",F8/B8)</f>
        <v/>
      </c>
      <c r="L8" s="20" t="str">
        <f aca="false">IF(OR(C8="",C8=0,D8=""),"",D8/C8)</f>
        <v/>
      </c>
      <c r="M8" s="20" t="str">
        <f aca="false">IF(OR(D8="",D8=0,E8=""),"",E8/D8)</f>
        <v/>
      </c>
      <c r="N8" s="11" t="str">
        <f aca="false">IF(OR(F8="",F8=0,G8=""),"",G8/F8)</f>
        <v/>
      </c>
      <c r="O8" s="11" t="str">
        <f aca="false">IF(OR(F8="",F8=0,H8=""),"",(H8+IF(I8="",0,I8))/F8)</f>
        <v/>
      </c>
      <c r="P8" s="11" t="str">
        <f aca="false">IF(F8="","",IF(Escenarios!$G$13="COMPLETO",F8*Escenarios!$G$21,"DATOS INCOMPLETOS"))</f>
        <v/>
      </c>
      <c r="Q8" s="20" t="str">
        <f aca="false">IF(OR(F8="",F8=0,J8=""),"",J8/F8)</f>
        <v/>
      </c>
    </row>
    <row r="9" customFormat="false" ht="15" hidden="false" customHeight="false" outlineLevel="0" collapsed="false">
      <c r="A9" s="18"/>
      <c r="B9" s="19"/>
      <c r="C9" s="19"/>
      <c r="D9" s="19"/>
      <c r="E9" s="19"/>
      <c r="F9" s="19"/>
      <c r="G9" s="7"/>
      <c r="H9" s="7"/>
      <c r="I9" s="7"/>
      <c r="J9" s="19"/>
      <c r="K9" s="20" t="str">
        <f aca="false">IF(OR(B9="",B9=0,F9=""),"",F9/B9)</f>
        <v/>
      </c>
      <c r="L9" s="20" t="str">
        <f aca="false">IF(OR(C9="",C9=0,D9=""),"",D9/C9)</f>
        <v/>
      </c>
      <c r="M9" s="20" t="str">
        <f aca="false">IF(OR(D9="",D9=0,E9=""),"",E9/D9)</f>
        <v/>
      </c>
      <c r="N9" s="11" t="str">
        <f aca="false">IF(OR(F9="",F9=0,G9=""),"",G9/F9)</f>
        <v/>
      </c>
      <c r="O9" s="11" t="str">
        <f aca="false">IF(OR(F9="",F9=0,H9=""),"",(H9+IF(I9="",0,I9))/F9)</f>
        <v/>
      </c>
      <c r="P9" s="11" t="str">
        <f aca="false">IF(F9="","",IF(Escenarios!$G$13="COMPLETO",F9*Escenarios!$G$21,"DATOS INCOMPLETOS"))</f>
        <v/>
      </c>
      <c r="Q9" s="20" t="str">
        <f aca="false">IF(OR(F9="",F9=0,J9=""),"",J9/F9)</f>
        <v/>
      </c>
    </row>
    <row r="10" customFormat="false" ht="15" hidden="false" customHeight="false" outlineLevel="0" collapsed="false">
      <c r="A10" s="18"/>
      <c r="B10" s="19"/>
      <c r="C10" s="19"/>
      <c r="D10" s="19"/>
      <c r="E10" s="19"/>
      <c r="F10" s="19"/>
      <c r="G10" s="7"/>
      <c r="H10" s="7"/>
      <c r="I10" s="7"/>
      <c r="J10" s="19"/>
      <c r="K10" s="20" t="str">
        <f aca="false">IF(OR(B10="",B10=0,F10=""),"",F10/B10)</f>
        <v/>
      </c>
      <c r="L10" s="20" t="str">
        <f aca="false">IF(OR(C10="",C10=0,D10=""),"",D10/C10)</f>
        <v/>
      </c>
      <c r="M10" s="20" t="str">
        <f aca="false">IF(OR(D10="",D10=0,E10=""),"",E10/D10)</f>
        <v/>
      </c>
      <c r="N10" s="11" t="str">
        <f aca="false">IF(OR(F10="",F10=0,G10=""),"",G10/F10)</f>
        <v/>
      </c>
      <c r="O10" s="11" t="str">
        <f aca="false">IF(OR(F10="",F10=0,H10=""),"",(H10+IF(I10="",0,I10))/F10)</f>
        <v/>
      </c>
      <c r="P10" s="11" t="str">
        <f aca="false">IF(F10="","",IF(Escenarios!$G$13="COMPLETO",F10*Escenarios!$G$21,"DATOS INCOMPLETOS"))</f>
        <v/>
      </c>
      <c r="Q10" s="20" t="str">
        <f aca="false">IF(OR(F10="",F10=0,J10=""),"",J10/F10)</f>
        <v/>
      </c>
    </row>
    <row r="11" customFormat="false" ht="15" hidden="false" customHeight="false" outlineLevel="0" collapsed="false">
      <c r="A11" s="18"/>
      <c r="B11" s="19"/>
      <c r="C11" s="19"/>
      <c r="D11" s="19"/>
      <c r="E11" s="19"/>
      <c r="F11" s="19"/>
      <c r="G11" s="7"/>
      <c r="H11" s="7"/>
      <c r="I11" s="7"/>
      <c r="J11" s="19"/>
      <c r="K11" s="20" t="str">
        <f aca="false">IF(OR(B11="",B11=0,F11=""),"",F11/B11)</f>
        <v/>
      </c>
      <c r="L11" s="20" t="str">
        <f aca="false">IF(OR(C11="",C11=0,D11=""),"",D11/C11)</f>
        <v/>
      </c>
      <c r="M11" s="20" t="str">
        <f aca="false">IF(OR(D11="",D11=0,E11=""),"",E11/D11)</f>
        <v/>
      </c>
      <c r="N11" s="11" t="str">
        <f aca="false">IF(OR(F11="",F11=0,G11=""),"",G11/F11)</f>
        <v/>
      </c>
      <c r="O11" s="11" t="str">
        <f aca="false">IF(OR(F11="",F11=0,H11=""),"",(H11+IF(I11="",0,I11))/F11)</f>
        <v/>
      </c>
      <c r="P11" s="11" t="str">
        <f aca="false">IF(F11="","",IF(Escenarios!$G$13="COMPLETO",F11*Escenarios!$G$21,"DATOS INCOMPLETOS"))</f>
        <v/>
      </c>
      <c r="Q11" s="20" t="str">
        <f aca="false">IF(OR(F11="",F11=0,J11=""),"",J11/F11)</f>
        <v/>
      </c>
    </row>
    <row r="12" customFormat="false" ht="15" hidden="false" customHeight="false" outlineLevel="0" collapsed="false">
      <c r="A12" s="18"/>
      <c r="B12" s="19"/>
      <c r="C12" s="19"/>
      <c r="D12" s="19"/>
      <c r="E12" s="19"/>
      <c r="F12" s="19"/>
      <c r="G12" s="7"/>
      <c r="H12" s="7"/>
      <c r="I12" s="7"/>
      <c r="J12" s="19"/>
      <c r="K12" s="20" t="str">
        <f aca="false">IF(OR(B12="",B12=0,F12=""),"",F12/B12)</f>
        <v/>
      </c>
      <c r="L12" s="20" t="str">
        <f aca="false">IF(OR(C12="",C12=0,D12=""),"",D12/C12)</f>
        <v/>
      </c>
      <c r="M12" s="20" t="str">
        <f aca="false">IF(OR(D12="",D12=0,E12=""),"",E12/D12)</f>
        <v/>
      </c>
      <c r="N12" s="11" t="str">
        <f aca="false">IF(OR(F12="",F12=0,G12=""),"",G12/F12)</f>
        <v/>
      </c>
      <c r="O12" s="11" t="str">
        <f aca="false">IF(OR(F12="",F12=0,H12=""),"",(H12+IF(I12="",0,I12))/F12)</f>
        <v/>
      </c>
      <c r="P12" s="11" t="str">
        <f aca="false">IF(F12="","",IF(Escenarios!$G$13="COMPLETO",F12*Escenarios!$G$21,"DATOS INCOMPLETOS"))</f>
        <v/>
      </c>
      <c r="Q12" s="20" t="str">
        <f aca="false">IF(OR(F12="",F12=0,J12=""),"",J12/F12)</f>
        <v/>
      </c>
    </row>
    <row r="13" customFormat="false" ht="15" hidden="false" customHeight="false" outlineLevel="0" collapsed="false">
      <c r="A13" s="18"/>
      <c r="B13" s="19"/>
      <c r="C13" s="19"/>
      <c r="D13" s="19"/>
      <c r="E13" s="19"/>
      <c r="F13" s="19"/>
      <c r="G13" s="7"/>
      <c r="H13" s="7"/>
      <c r="I13" s="7"/>
      <c r="J13" s="19"/>
      <c r="K13" s="20" t="str">
        <f aca="false">IF(OR(B13="",B13=0,F13=""),"",F13/B13)</f>
        <v/>
      </c>
      <c r="L13" s="20" t="str">
        <f aca="false">IF(OR(C13="",C13=0,D13=""),"",D13/C13)</f>
        <v/>
      </c>
      <c r="M13" s="20" t="str">
        <f aca="false">IF(OR(D13="",D13=0,E13=""),"",E13/D13)</f>
        <v/>
      </c>
      <c r="N13" s="11" t="str">
        <f aca="false">IF(OR(F13="",F13=0,G13=""),"",G13/F13)</f>
        <v/>
      </c>
      <c r="O13" s="11" t="str">
        <f aca="false">IF(OR(F13="",F13=0,H13=""),"",(H13+IF(I13="",0,I13))/F13)</f>
        <v/>
      </c>
      <c r="P13" s="11" t="str">
        <f aca="false">IF(F13="","",IF(Escenarios!$G$13="COMPLETO",F13*Escenarios!$G$21,"DATOS INCOMPLETOS"))</f>
        <v/>
      </c>
      <c r="Q13" s="20" t="str">
        <f aca="false">IF(OR(F13="",F13=0,J13=""),"",J13/F13)</f>
        <v/>
      </c>
    </row>
    <row r="14" customFormat="false" ht="15" hidden="false" customHeight="false" outlineLevel="0" collapsed="false">
      <c r="A14" s="18"/>
      <c r="B14" s="19"/>
      <c r="C14" s="19"/>
      <c r="D14" s="19"/>
      <c r="E14" s="19"/>
      <c r="F14" s="19"/>
      <c r="G14" s="7"/>
      <c r="H14" s="7"/>
      <c r="I14" s="7"/>
      <c r="J14" s="19"/>
      <c r="K14" s="20" t="str">
        <f aca="false">IF(OR(B14="",B14=0,F14=""),"",F14/B14)</f>
        <v/>
      </c>
      <c r="L14" s="20" t="str">
        <f aca="false">IF(OR(C14="",C14=0,D14=""),"",D14/C14)</f>
        <v/>
      </c>
      <c r="M14" s="20" t="str">
        <f aca="false">IF(OR(D14="",D14=0,E14=""),"",E14/D14)</f>
        <v/>
      </c>
      <c r="N14" s="11" t="str">
        <f aca="false">IF(OR(F14="",F14=0,G14=""),"",G14/F14)</f>
        <v/>
      </c>
      <c r="O14" s="11" t="str">
        <f aca="false">IF(OR(F14="",F14=0,H14=""),"",(H14+IF(I14="",0,I14))/F14)</f>
        <v/>
      </c>
      <c r="P14" s="11" t="str">
        <f aca="false">IF(F14="","",IF(Escenarios!$G$13="COMPLETO",F14*Escenarios!$G$21,"DATOS INCOMPLETOS"))</f>
        <v/>
      </c>
      <c r="Q14" s="20" t="str">
        <f aca="false">IF(OR(F14="",F14=0,J14=""),"",J14/F14)</f>
        <v/>
      </c>
    </row>
    <row r="15" customFormat="false" ht="15" hidden="false" customHeight="false" outlineLevel="0" collapsed="false">
      <c r="A15" s="18"/>
      <c r="B15" s="19"/>
      <c r="C15" s="19"/>
      <c r="D15" s="19"/>
      <c r="E15" s="19"/>
      <c r="F15" s="19"/>
      <c r="G15" s="7"/>
      <c r="H15" s="7"/>
      <c r="I15" s="7"/>
      <c r="J15" s="19"/>
      <c r="K15" s="20" t="str">
        <f aca="false">IF(OR(B15="",B15=0,F15=""),"",F15/B15)</f>
        <v/>
      </c>
      <c r="L15" s="20" t="str">
        <f aca="false">IF(OR(C15="",C15=0,D15=""),"",D15/C15)</f>
        <v/>
      </c>
      <c r="M15" s="20" t="str">
        <f aca="false">IF(OR(D15="",D15=0,E15=""),"",E15/D15)</f>
        <v/>
      </c>
      <c r="N15" s="11" t="str">
        <f aca="false">IF(OR(F15="",F15=0,G15=""),"",G15/F15)</f>
        <v/>
      </c>
      <c r="O15" s="11" t="str">
        <f aca="false">IF(OR(F15="",F15=0,H15=""),"",(H15+IF(I15="",0,I15))/F15)</f>
        <v/>
      </c>
      <c r="P15" s="11" t="str">
        <f aca="false">IF(F15="","",IF(Escenarios!$G$13="COMPLETO",F15*Escenarios!$G$21,"DATOS INCOMPLETOS"))</f>
        <v/>
      </c>
      <c r="Q15" s="20" t="str">
        <f aca="false">IF(OR(F15="",F15=0,J15=""),"",J15/F15)</f>
        <v/>
      </c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customFormat="false" ht="15" hidden="false" customHeight="false" outlineLevel="0" collapsed="false">
      <c r="A17" s="3" t="s">
        <v>106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107</v>
      </c>
      <c r="B1" s="3"/>
      <c r="C1" s="3"/>
      <c r="D1" s="3"/>
      <c r="E1" s="3"/>
    </row>
    <row r="2" customFormat="false" ht="15" hidden="false" customHeight="false" outlineLevel="0" collapsed="false">
      <c r="A2" s="3" t="s">
        <v>108</v>
      </c>
      <c r="B2" s="3"/>
      <c r="C2" s="13" t="n">
        <f aca="false">IF(Escenarios!G13="COMPLETO",Escenarios!G21,Escenarios!C21)</f>
        <v>7.04364380165289</v>
      </c>
      <c r="D2" s="3" t="str">
        <f aca="false">IF(Escenarios!G13="COMPLETO","REAL","HIPÓTESIS (Base)")</f>
        <v>HIPÓTESIS (Base)</v>
      </c>
      <c r="E2" s="3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33.75" hidden="false" customHeight="true" outlineLevel="0" collapsed="false">
      <c r="A4" s="5" t="s">
        <v>109</v>
      </c>
      <c r="B4" s="5" t="s">
        <v>110</v>
      </c>
      <c r="C4" s="5" t="s">
        <v>111</v>
      </c>
      <c r="D4" s="5" t="s">
        <v>112</v>
      </c>
      <c r="E4" s="5" t="s">
        <v>113</v>
      </c>
    </row>
    <row r="5" customFormat="false" ht="15" hidden="false" customHeight="false" outlineLevel="0" collapsed="false">
      <c r="A5" s="19" t="n">
        <v>300</v>
      </c>
      <c r="B5" s="6" t="n">
        <v>0.005</v>
      </c>
      <c r="C5" s="17" t="n">
        <f aca="false">A5*B5</f>
        <v>1.5</v>
      </c>
      <c r="D5" s="11" t="n">
        <f aca="false">C5*$C$2</f>
        <v>10.5654657024793</v>
      </c>
      <c r="E5" s="11" t="n">
        <f aca="false">C5*'Capital circulante'!$B$6</f>
        <v>21</v>
      </c>
    </row>
    <row r="6" customFormat="false" ht="15" hidden="false" customHeight="false" outlineLevel="0" collapsed="false">
      <c r="A6" s="19" t="n">
        <v>1000</v>
      </c>
      <c r="B6" s="6" t="n">
        <v>0.01</v>
      </c>
      <c r="C6" s="17" t="n">
        <f aca="false">A6*B6</f>
        <v>10</v>
      </c>
      <c r="D6" s="11" t="n">
        <f aca="false">C6*$C$2</f>
        <v>70.4364380165289</v>
      </c>
      <c r="E6" s="11" t="n">
        <f aca="false">C6*'Capital circulante'!$B$6</f>
        <v>140</v>
      </c>
    </row>
    <row r="7" customFormat="false" ht="15" hidden="false" customHeight="false" outlineLevel="0" collapsed="false">
      <c r="A7" s="19" t="n">
        <v>3000</v>
      </c>
      <c r="B7" s="6" t="n">
        <v>0.01</v>
      </c>
      <c r="C7" s="17" t="n">
        <f aca="false">A7*B7</f>
        <v>30</v>
      </c>
      <c r="D7" s="11" t="n">
        <f aca="false">C7*$C$2</f>
        <v>211.309314049587</v>
      </c>
      <c r="E7" s="11" t="n">
        <f aca="false">C7*'Capital circulante'!$B$6</f>
        <v>420</v>
      </c>
    </row>
    <row r="8" customFormat="false" ht="15" hidden="false" customHeight="false" outlineLevel="0" collapsed="false">
      <c r="A8" s="19" t="n">
        <v>10000</v>
      </c>
      <c r="B8" s="6" t="n">
        <v>0.015</v>
      </c>
      <c r="C8" s="17" t="n">
        <f aca="false">A8*B8</f>
        <v>150</v>
      </c>
      <c r="D8" s="11" t="n">
        <f aca="false">C8*$C$2</f>
        <v>1056.54657024793</v>
      </c>
      <c r="E8" s="11" t="n">
        <f aca="false">C8*'Capital circulante'!$B$6</f>
        <v>2100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2026-10-13T20:16:56Z</dcterms:created>
  <dc:creator>openpyxl</dc:creator>
  <dc:description/>
  <dc:language>en-US</dc:language>
  <cp:lastModifiedBy/>
  <dcterms:modified xsi:type="dcterms:W3CDTF">2026-10-13T20:16:56Z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